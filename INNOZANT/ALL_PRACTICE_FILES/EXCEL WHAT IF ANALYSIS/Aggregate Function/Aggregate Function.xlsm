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ast Class 7pm\Aggregate Function\"/>
    </mc:Choice>
  </mc:AlternateContent>
  <xr:revisionPtr revIDLastSave="0" documentId="13_ncr:1_{94E6DED7-B042-4253-BA6F-A5D4581EF33D}" xr6:coauthVersionLast="47" xr6:coauthVersionMax="47" xr10:uidLastSave="{00000000-0000-0000-0000-000000000000}"/>
  <bookViews>
    <workbookView xWindow="-120" yWindow="-120" windowWidth="20730" windowHeight="11160" xr2:uid="{591A7253-9C20-4ABE-8F71-5F91660E2704}"/>
  </bookViews>
  <sheets>
    <sheet name="661an" sheetId="1" r:id="rId1"/>
  </sheets>
  <definedNames>
    <definedName name="_xlnm._FilterDatabase" localSheetId="0" hidden="1">'661an'!$B$1:$B$102</definedName>
    <definedName name="ShowFormulaToLeft">GET.CELL(6,!XFD1)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0" i="1" l="1"/>
  <c r="H19" i="1"/>
  <c r="H16" i="1"/>
  <c r="I12" i="1" l="1"/>
  <c r="I10" i="1"/>
  <c r="I8" i="1"/>
  <c r="I6" i="1"/>
  <c r="I4" i="1"/>
  <c r="I2" i="1"/>
  <c r="G18" i="1"/>
  <c r="I11" i="1"/>
  <c r="I9" i="1"/>
  <c r="I7" i="1"/>
  <c r="I5" i="1"/>
  <c r="I3" i="1"/>
  <c r="I1" i="1"/>
  <c r="I13" i="1"/>
  <c r="G16" i="1"/>
  <c r="G17" i="1"/>
  <c r="G15" i="1"/>
  <c r="G13" i="1"/>
  <c r="G12" i="1"/>
  <c r="G11" i="1"/>
  <c r="G10" i="1"/>
  <c r="G9" i="1"/>
  <c r="G8" i="1"/>
  <c r="G7" i="1"/>
  <c r="G6" i="1"/>
  <c r="G5" i="1"/>
  <c r="G4" i="1"/>
  <c r="G3" i="1"/>
  <c r="G2" i="1"/>
  <c r="G1" i="1"/>
  <c r="G19" i="1"/>
  <c r="G20" i="1"/>
  <c r="N92" i="1" l="1"/>
  <c r="N93" i="1" s="1"/>
</calcChain>
</file>

<file path=xl/sharedStrings.xml><?xml version="1.0" encoding="utf-8"?>
<sst xmlns="http://schemas.openxmlformats.org/spreadsheetml/2006/main" count="123" uniqueCount="28">
  <si>
    <t>Date</t>
  </si>
  <si>
    <t>SalesRep</t>
  </si>
  <si>
    <t xml:space="preserve">Sales </t>
  </si>
  <si>
    <t>Chin</t>
  </si>
  <si>
    <t>Jeevan</t>
  </si>
  <si>
    <t>Sumer</t>
  </si>
  <si>
    <t>Fahim</t>
  </si>
  <si>
    <t>Ritika</t>
  </si>
  <si>
    <t>Shilpi</t>
  </si>
  <si>
    <t>AVERAGE</t>
  </si>
  <si>
    <t>COUNT</t>
  </si>
  <si>
    <t>COUNTA</t>
  </si>
  <si>
    <t>MAX</t>
  </si>
  <si>
    <t>MIN</t>
  </si>
  <si>
    <t>PRODUCT</t>
  </si>
  <si>
    <t>STDEV.S</t>
  </si>
  <si>
    <t>STDEV.P</t>
  </si>
  <si>
    <t>SUM</t>
  </si>
  <si>
    <t>VAR.S</t>
  </si>
  <si>
    <t>VAR.P</t>
  </si>
  <si>
    <t>MEDIAN</t>
  </si>
  <si>
    <t>MODE.SNGL</t>
  </si>
  <si>
    <t>LARGE</t>
  </si>
  <si>
    <t>SMALL</t>
  </si>
  <si>
    <t>PERCENTILE.INC</t>
  </si>
  <si>
    <t>QUARTILE.INC</t>
  </si>
  <si>
    <t>PERCENTILE.EXC</t>
  </si>
  <si>
    <t>QUARTILE.EXC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</si>
</sst>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m/d/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</borders>
  <cellStyleXfs count="1">
    <xf numFmtId="0" fontId="0" fillId="0" borderId="0"/>
  </cellStyleXfs>
  <cellXfs count="15">
    <xf numFmtId="0" fontId="0" fillId="0" borderId="0" xfId="0"/>
    <xf numFmtId="8" fontId="0" fillId="0" borderId="0" xfId="0" applyNumberFormat="1"/>
    <xf numFmtId="164" fontId="0" fillId="0" borderId="4" xfId="0" applyNumberFormat="1" applyFill="1" applyBorder="1"/>
    <xf numFmtId="0" fontId="0" fillId="0" borderId="4" xfId="0" applyFill="1" applyBorder="1"/>
    <xf numFmtId="40" fontId="0" fillId="0" borderId="5" xfId="0" applyNumberFormat="1" applyFill="1" applyBorder="1"/>
    <xf numFmtId="0" fontId="3" fillId="2" borderId="1" xfId="0" applyFont="1" applyFill="1" applyBorder="1"/>
    <xf numFmtId="0" fontId="3" fillId="2" borderId="2" xfId="0" applyFont="1" applyFill="1" applyBorder="1"/>
    <xf numFmtId="0" fontId="2" fillId="3" borderId="3" xfId="0" applyFont="1" applyFill="1" applyBorder="1"/>
    <xf numFmtId="0" fontId="2" fillId="3" borderId="0" xfId="0" applyFont="1" applyFill="1"/>
    <xf numFmtId="0" fontId="0" fillId="4" borderId="3" xfId="0" applyFill="1" applyBorder="1"/>
    <xf numFmtId="0" fontId="2" fillId="0" borderId="0" xfId="0" applyFont="1" applyFill="1" applyBorder="1" applyAlignment="1">
      <alignment horizontal="centerContinuous" wrapText="1"/>
    </xf>
    <xf numFmtId="0" fontId="0" fillId="0" borderId="0" xfId="0" applyFill="1" applyBorder="1"/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Continuous" wrapText="1"/>
    </xf>
    <xf numFmtId="4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90FB7-B7E6-479B-A0DE-0638982B60E7}">
  <sheetPr>
    <tabColor rgb="FFFF0000"/>
  </sheetPr>
  <dimension ref="A1:N102"/>
  <sheetViews>
    <sheetView tabSelected="1" workbookViewId="0">
      <selection activeCell="G17" sqref="G17"/>
    </sheetView>
  </sheetViews>
  <sheetFormatPr defaultRowHeight="15" x14ac:dyDescent="0.25"/>
  <cols>
    <col min="4" max="4" width="1.42578125" customWidth="1"/>
    <col min="5" max="5" width="14.7109375" bestFit="1" customWidth="1"/>
    <col min="6" max="6" width="3" bestFit="1" customWidth="1"/>
    <col min="7" max="7" width="12" bestFit="1" customWidth="1"/>
    <col min="8" max="8" width="5" customWidth="1"/>
    <col min="9" max="9" width="12" bestFit="1" customWidth="1"/>
    <col min="10" max="10" width="24.28515625" bestFit="1" customWidth="1"/>
    <col min="11" max="11" width="5" bestFit="1" customWidth="1"/>
    <col min="12" max="12" width="9.42578125" bestFit="1" customWidth="1"/>
    <col min="13" max="13" width="5" bestFit="1" customWidth="1"/>
    <col min="14" max="14" width="6.28515625" bestFit="1" customWidth="1"/>
    <col min="15" max="15" width="6.42578125" bestFit="1" customWidth="1"/>
    <col min="16" max="16" width="8.28515625" bestFit="1" customWidth="1"/>
    <col min="17" max="17" width="11.5703125" bestFit="1" customWidth="1"/>
    <col min="18" max="18" width="6.5703125" bestFit="1" customWidth="1"/>
    <col min="19" max="19" width="6.7109375" bestFit="1" customWidth="1"/>
    <col min="20" max="20" width="15.140625" bestFit="1" customWidth="1"/>
    <col min="21" max="21" width="13.42578125" bestFit="1" customWidth="1"/>
    <col min="22" max="22" width="15.28515625" bestFit="1" customWidth="1"/>
    <col min="23" max="23" width="13.5703125" bestFit="1" customWidth="1"/>
  </cols>
  <sheetData>
    <row r="1" spans="1:9" ht="15.75" thickBot="1" x14ac:dyDescent="0.3">
      <c r="A1" s="5" t="s">
        <v>0</v>
      </c>
      <c r="B1" s="5" t="s">
        <v>1</v>
      </c>
      <c r="C1" s="6" t="s">
        <v>2</v>
      </c>
      <c r="E1" s="7" t="s">
        <v>9</v>
      </c>
      <c r="F1" s="7">
        <v>1</v>
      </c>
      <c r="G1" s="9">
        <f>_xlfn.AGGREGATE(F1,4,$C$2:$C$102)</f>
        <v>94.751635181995695</v>
      </c>
      <c r="I1" s="14">
        <f>AVERAGE($C$2:$C$102)</f>
        <v>94.751635181995695</v>
      </c>
    </row>
    <row r="2" spans="1:9" ht="15.75" thickTop="1" x14ac:dyDescent="0.25">
      <c r="A2" s="2">
        <v>44555</v>
      </c>
      <c r="B2" s="3" t="s">
        <v>4</v>
      </c>
      <c r="C2" s="4">
        <v>73.473609361655804</v>
      </c>
      <c r="E2" s="7" t="s">
        <v>10</v>
      </c>
      <c r="F2" s="7">
        <v>2</v>
      </c>
      <c r="G2" s="9">
        <f t="shared" ref="G2:G13" si="0">_xlfn.AGGREGATE(F2,4,$C$2:$C$102)</f>
        <v>100</v>
      </c>
      <c r="I2">
        <f>COUNT($C$2:$C$102)</f>
        <v>100</v>
      </c>
    </row>
    <row r="3" spans="1:9" x14ac:dyDescent="0.25">
      <c r="A3" s="2">
        <v>44545</v>
      </c>
      <c r="B3" s="3" t="s">
        <v>5</v>
      </c>
      <c r="C3" s="4">
        <v>146.66974659111486</v>
      </c>
      <c r="E3" s="7" t="s">
        <v>11</v>
      </c>
      <c r="F3" s="7">
        <v>3</v>
      </c>
      <c r="G3" s="9">
        <f t="shared" si="0"/>
        <v>100</v>
      </c>
      <c r="I3">
        <f>COUNTA($C$2:$C$102)</f>
        <v>100</v>
      </c>
    </row>
    <row r="4" spans="1:9" x14ac:dyDescent="0.25">
      <c r="A4" s="2">
        <v>44541</v>
      </c>
      <c r="B4" s="3" t="s">
        <v>6</v>
      </c>
      <c r="C4" s="4">
        <v>65.062240499893448</v>
      </c>
      <c r="E4" s="7" t="s">
        <v>12</v>
      </c>
      <c r="F4" s="7">
        <v>4</v>
      </c>
      <c r="G4" s="9">
        <f t="shared" si="0"/>
        <v>148.50704718256654</v>
      </c>
      <c r="I4" s="14">
        <f>MAX($C$2:$C$102)</f>
        <v>148.50704718256654</v>
      </c>
    </row>
    <row r="5" spans="1:9" x14ac:dyDescent="0.25">
      <c r="A5" s="2">
        <v>44531</v>
      </c>
      <c r="B5" s="3" t="s">
        <v>4</v>
      </c>
      <c r="C5" s="4">
        <v>74.164310390907502</v>
      </c>
      <c r="E5" s="7" t="s">
        <v>13</v>
      </c>
      <c r="F5" s="7">
        <v>5</v>
      </c>
      <c r="G5" s="9">
        <f t="shared" si="0"/>
        <v>50.329750495577855</v>
      </c>
      <c r="I5" s="14">
        <f>MIN($C$2:$C$102)</f>
        <v>50.329750495577855</v>
      </c>
    </row>
    <row r="6" spans="1:9" x14ac:dyDescent="0.25">
      <c r="A6" s="2">
        <v>44541</v>
      </c>
      <c r="B6" s="3" t="s">
        <v>6</v>
      </c>
      <c r="C6" s="4">
        <v>60.315390446441768</v>
      </c>
      <c r="E6" s="7" t="s">
        <v>14</v>
      </c>
      <c r="F6" s="7">
        <v>6</v>
      </c>
      <c r="G6" s="9">
        <f t="shared" si="0"/>
        <v>5.0896292554156652E+195</v>
      </c>
      <c r="I6">
        <f>PRODUCT($C$2:$C$102)</f>
        <v>5.0896292554156652E+195</v>
      </c>
    </row>
    <row r="7" spans="1:9" x14ac:dyDescent="0.25">
      <c r="A7" s="2">
        <v>40221</v>
      </c>
      <c r="B7" s="3" t="s">
        <v>7</v>
      </c>
      <c r="C7" s="4">
        <v>82.027578957326966</v>
      </c>
      <c r="E7" s="7" t="s">
        <v>15</v>
      </c>
      <c r="F7" s="7">
        <v>7</v>
      </c>
      <c r="G7" s="9">
        <f t="shared" si="0"/>
        <v>28.333765076594997</v>
      </c>
      <c r="I7">
        <f>_xlfn.STDEV.S($C$2:$C$102)</f>
        <v>28.333765076594997</v>
      </c>
    </row>
    <row r="8" spans="1:9" x14ac:dyDescent="0.25">
      <c r="A8" s="2">
        <v>44537</v>
      </c>
      <c r="B8" s="3" t="s">
        <v>5</v>
      </c>
      <c r="C8" s="4">
        <v>132.6509592404345</v>
      </c>
      <c r="E8" s="7" t="s">
        <v>16</v>
      </c>
      <c r="F8" s="7">
        <v>8</v>
      </c>
      <c r="G8" s="9">
        <f t="shared" si="0"/>
        <v>28.191740297142307</v>
      </c>
      <c r="I8">
        <f>_xlfn.STDEV.P($C$2:$C$102)</f>
        <v>28.191740297142307</v>
      </c>
    </row>
    <row r="9" spans="1:9" x14ac:dyDescent="0.25">
      <c r="A9" s="2">
        <v>44523</v>
      </c>
      <c r="B9" s="3" t="s">
        <v>5</v>
      </c>
      <c r="C9" s="4">
        <v>51.277165880472126</v>
      </c>
      <c r="E9" s="7" t="s">
        <v>17</v>
      </c>
      <c r="F9" s="7">
        <v>9</v>
      </c>
      <c r="G9" s="9">
        <f t="shared" si="0"/>
        <v>9475.1635181995698</v>
      </c>
      <c r="I9" s="14">
        <f>SUM($C$2:$C$102)</f>
        <v>9475.1635181995698</v>
      </c>
    </row>
    <row r="10" spans="1:9" x14ac:dyDescent="0.25">
      <c r="A10" s="2">
        <v>44523</v>
      </c>
      <c r="B10" s="3" t="s">
        <v>4</v>
      </c>
      <c r="C10" s="4">
        <v>86.520733963521366</v>
      </c>
      <c r="E10" s="7" t="s">
        <v>18</v>
      </c>
      <c r="F10" s="7">
        <v>10</v>
      </c>
      <c r="G10" s="9">
        <f t="shared" si="0"/>
        <v>802.8022434156743</v>
      </c>
      <c r="I10">
        <f>_xlfn.VAR.S($C$2:$C$102)</f>
        <v>802.8022434156743</v>
      </c>
    </row>
    <row r="11" spans="1:9" x14ac:dyDescent="0.25">
      <c r="A11" s="2">
        <v>40201</v>
      </c>
      <c r="B11" s="3" t="s">
        <v>5</v>
      </c>
      <c r="C11" s="4">
        <v>59.541354987448642</v>
      </c>
      <c r="E11" s="7" t="s">
        <v>19</v>
      </c>
      <c r="F11" s="7">
        <v>11</v>
      </c>
      <c r="G11" s="9">
        <f t="shared" si="0"/>
        <v>794.77422098151749</v>
      </c>
      <c r="I11">
        <f>_xlfn.VAR.P($C$2:$C$102)</f>
        <v>794.77422098151749</v>
      </c>
    </row>
    <row r="12" spans="1:9" x14ac:dyDescent="0.25">
      <c r="A12" s="2">
        <v>40199</v>
      </c>
      <c r="B12" s="3" t="s">
        <v>7</v>
      </c>
      <c r="C12" s="4">
        <v>89.806176467627921</v>
      </c>
      <c r="E12" s="7" t="s">
        <v>20</v>
      </c>
      <c r="F12" s="7">
        <v>12</v>
      </c>
      <c r="G12" s="9">
        <f t="shared" si="0"/>
        <v>90.953629716795291</v>
      </c>
      <c r="I12" s="14">
        <f>MEDIAN($C$2:$C$102)</f>
        <v>90.953629716795291</v>
      </c>
    </row>
    <row r="13" spans="1:9" x14ac:dyDescent="0.25">
      <c r="A13" s="2">
        <v>44550</v>
      </c>
      <c r="B13" s="3" t="s">
        <v>4</v>
      </c>
      <c r="C13" s="4">
        <v>78.5069669815027</v>
      </c>
      <c r="E13" s="7" t="s">
        <v>21</v>
      </c>
      <c r="F13" s="7">
        <v>13</v>
      </c>
      <c r="G13" s="9" t="e">
        <f t="shared" si="0"/>
        <v>#N/A</v>
      </c>
      <c r="I13" t="e">
        <f>_xlfn.MODE.SNGL($C$2:$C$102)</f>
        <v>#N/A</v>
      </c>
    </row>
    <row r="14" spans="1:9" x14ac:dyDescent="0.25">
      <c r="A14" s="2">
        <v>44537</v>
      </c>
      <c r="B14" s="3" t="s">
        <v>7</v>
      </c>
      <c r="C14" s="4">
        <v>61.054503838958993</v>
      </c>
    </row>
    <row r="15" spans="1:9" x14ac:dyDescent="0.25">
      <c r="A15" s="2">
        <v>40220</v>
      </c>
      <c r="B15" s="3" t="s">
        <v>4</v>
      </c>
      <c r="C15" s="4">
        <v>53.987123107569118</v>
      </c>
      <c r="E15" s="7" t="s">
        <v>22</v>
      </c>
      <c r="F15" s="8">
        <v>14</v>
      </c>
      <c r="G15" s="9">
        <f>_xlfn.AGGREGATE(F15,4,$C$2:$C$102,H15)</f>
        <v>145.55609519806978</v>
      </c>
      <c r="H15">
        <v>5</v>
      </c>
    </row>
    <row r="16" spans="1:9" x14ac:dyDescent="0.25">
      <c r="A16" s="2">
        <v>40191</v>
      </c>
      <c r="B16" s="3" t="s">
        <v>6</v>
      </c>
      <c r="C16" s="4">
        <v>50.329750495577855</v>
      </c>
      <c r="E16" s="7" t="s">
        <v>23</v>
      </c>
      <c r="F16" s="8">
        <v>15</v>
      </c>
      <c r="G16" s="9">
        <f t="shared" ref="G16:G20" si="1">_xlfn.AGGREGATE(F16,4,$C$2:$C$102,H16)</f>
        <v>54.958243888045388</v>
      </c>
      <c r="H16">
        <f>H15</f>
        <v>5</v>
      </c>
    </row>
    <row r="17" spans="1:12" x14ac:dyDescent="0.25">
      <c r="A17" s="2">
        <v>40206</v>
      </c>
      <c r="B17" s="3" t="s">
        <v>4</v>
      </c>
      <c r="C17" s="4">
        <v>70.252845077269853</v>
      </c>
      <c r="E17" s="7" t="s">
        <v>24</v>
      </c>
      <c r="F17" s="8">
        <v>16</v>
      </c>
      <c r="G17" s="9">
        <f t="shared" si="1"/>
        <v>141.60794830982411</v>
      </c>
      <c r="H17">
        <v>0.9</v>
      </c>
    </row>
    <row r="18" spans="1:12" x14ac:dyDescent="0.25">
      <c r="A18" s="2">
        <v>40203</v>
      </c>
      <c r="B18" s="3" t="s">
        <v>4</v>
      </c>
      <c r="C18" s="4">
        <v>112.72566566819356</v>
      </c>
      <c r="E18" s="7" t="s">
        <v>25</v>
      </c>
      <c r="F18" s="8">
        <v>17</v>
      </c>
      <c r="G18" s="9">
        <f t="shared" si="1"/>
        <v>73.002937701826596</v>
      </c>
      <c r="H18">
        <v>1</v>
      </c>
    </row>
    <row r="19" spans="1:12" x14ac:dyDescent="0.25">
      <c r="A19" s="2">
        <v>40219</v>
      </c>
      <c r="B19" s="3" t="s">
        <v>8</v>
      </c>
      <c r="C19" s="4">
        <v>54.958243888045388</v>
      </c>
      <c r="E19" s="7" t="s">
        <v>26</v>
      </c>
      <c r="F19" s="8">
        <v>18</v>
      </c>
      <c r="G19" s="9">
        <f t="shared" si="1"/>
        <v>141.88492135541432</v>
      </c>
      <c r="H19">
        <f>H17</f>
        <v>0.9</v>
      </c>
      <c r="J19" s="1"/>
    </row>
    <row r="20" spans="1:12" x14ac:dyDescent="0.25">
      <c r="A20" s="2">
        <v>44556</v>
      </c>
      <c r="B20" s="3" t="s">
        <v>5</v>
      </c>
      <c r="C20" s="4">
        <v>55.092347253921645</v>
      </c>
      <c r="E20" s="7" t="s">
        <v>27</v>
      </c>
      <c r="F20" s="8">
        <v>19</v>
      </c>
      <c r="G20" s="9">
        <f t="shared" si="1"/>
        <v>72.806520418236204</v>
      </c>
      <c r="H20">
        <f>H18</f>
        <v>1</v>
      </c>
    </row>
    <row r="21" spans="1:12" x14ac:dyDescent="0.25">
      <c r="A21" s="2">
        <v>44544</v>
      </c>
      <c r="B21" s="3" t="s">
        <v>4</v>
      </c>
      <c r="C21" s="4">
        <v>73.101146343621792</v>
      </c>
    </row>
    <row r="22" spans="1:12" x14ac:dyDescent="0.25">
      <c r="A22" s="2">
        <v>40221</v>
      </c>
      <c r="B22" s="3" t="s">
        <v>5</v>
      </c>
      <c r="C22" s="4">
        <v>60.614633576592411</v>
      </c>
    </row>
    <row r="23" spans="1:12" x14ac:dyDescent="0.25">
      <c r="A23" s="2">
        <v>40197</v>
      </c>
      <c r="B23" s="3" t="s">
        <v>6</v>
      </c>
      <c r="C23" s="4">
        <v>75.771984591415901</v>
      </c>
      <c r="E23" s="10"/>
      <c r="F23" s="10"/>
      <c r="G23" s="11"/>
      <c r="H23" s="11"/>
      <c r="I23" s="11"/>
      <c r="J23" s="11"/>
      <c r="K23" s="11"/>
      <c r="L23" s="11"/>
    </row>
    <row r="24" spans="1:12" x14ac:dyDescent="0.25">
      <c r="A24" s="2">
        <v>40225</v>
      </c>
      <c r="B24" s="3" t="s">
        <v>7</v>
      </c>
      <c r="C24" s="4">
        <v>95.853677542163638</v>
      </c>
      <c r="E24" s="12"/>
      <c r="F24" s="13"/>
      <c r="G24" s="10"/>
      <c r="H24" s="10"/>
      <c r="I24" s="10"/>
      <c r="J24" s="11"/>
      <c r="K24" s="11"/>
      <c r="L24" s="11"/>
    </row>
    <row r="25" spans="1:12" x14ac:dyDescent="0.25">
      <c r="A25" s="2">
        <v>40185</v>
      </c>
      <c r="B25" s="3" t="s">
        <v>8</v>
      </c>
      <c r="C25" s="4">
        <v>72.319084064211694</v>
      </c>
      <c r="E25" s="11"/>
      <c r="F25" s="11"/>
      <c r="G25" s="11"/>
      <c r="H25" s="11"/>
      <c r="I25" s="11"/>
      <c r="J25" s="11"/>
      <c r="K25" s="11"/>
      <c r="L25" s="11"/>
    </row>
    <row r="26" spans="1:12" x14ac:dyDescent="0.25">
      <c r="A26" s="2">
        <v>40194</v>
      </c>
      <c r="B26" s="3" t="s">
        <v>3</v>
      </c>
      <c r="C26" s="4">
        <v>64.95651728596323</v>
      </c>
      <c r="E26" s="11"/>
      <c r="F26" s="11"/>
      <c r="G26" s="11"/>
      <c r="H26" s="11"/>
      <c r="I26" s="11"/>
      <c r="J26" s="11"/>
      <c r="K26" s="11"/>
      <c r="L26" s="11"/>
    </row>
    <row r="27" spans="1:12" x14ac:dyDescent="0.25">
      <c r="A27" s="2">
        <v>40224</v>
      </c>
      <c r="B27" s="3" t="s">
        <v>6</v>
      </c>
      <c r="C27" s="4">
        <v>120.96651969759714</v>
      </c>
      <c r="E27" s="11"/>
      <c r="F27" s="11"/>
      <c r="G27" s="11"/>
      <c r="H27" s="11"/>
      <c r="I27" s="11"/>
      <c r="J27" s="11"/>
      <c r="K27" s="11"/>
      <c r="L27" s="11"/>
    </row>
    <row r="28" spans="1:12" x14ac:dyDescent="0.25">
      <c r="A28" s="2">
        <v>44543</v>
      </c>
      <c r="B28" s="3" t="s">
        <v>8</v>
      </c>
      <c r="C28" s="4">
        <v>109.09944411041235</v>
      </c>
      <c r="E28" s="11"/>
      <c r="F28" s="11"/>
      <c r="G28" s="11"/>
      <c r="H28" s="11"/>
      <c r="I28" s="11"/>
      <c r="J28" s="11"/>
      <c r="K28" s="11"/>
      <c r="L28" s="11"/>
    </row>
    <row r="29" spans="1:12" x14ac:dyDescent="0.25">
      <c r="A29" s="2">
        <v>40182</v>
      </c>
      <c r="B29" s="3" t="s">
        <v>6</v>
      </c>
      <c r="C29" s="4">
        <v>107.67313491478527</v>
      </c>
      <c r="E29" s="11"/>
      <c r="F29" s="11"/>
      <c r="G29" s="11"/>
      <c r="H29" s="11"/>
      <c r="I29" s="11"/>
      <c r="J29" s="11"/>
      <c r="K29" s="11"/>
      <c r="L29" s="11"/>
    </row>
    <row r="30" spans="1:12" x14ac:dyDescent="0.25">
      <c r="A30" s="2">
        <v>44544</v>
      </c>
      <c r="B30" s="3" t="s">
        <v>4</v>
      </c>
      <c r="C30" s="4">
        <v>73.630845658932145</v>
      </c>
      <c r="E30" s="11"/>
      <c r="F30" s="11"/>
      <c r="G30" s="11"/>
      <c r="H30" s="11"/>
      <c r="I30" s="11"/>
      <c r="J30" s="11"/>
      <c r="K30" s="11"/>
      <c r="L30" s="11"/>
    </row>
    <row r="31" spans="1:12" x14ac:dyDescent="0.25">
      <c r="A31" s="2">
        <v>40210</v>
      </c>
      <c r="B31" s="3" t="s">
        <v>4</v>
      </c>
      <c r="C31" s="4">
        <v>72.52862225040181</v>
      </c>
      <c r="E31" s="11"/>
      <c r="F31" s="11"/>
      <c r="G31" s="11"/>
      <c r="H31" s="11"/>
      <c r="I31" s="11"/>
      <c r="J31" s="11"/>
      <c r="K31" s="11"/>
      <c r="L31" s="11"/>
    </row>
    <row r="32" spans="1:12" x14ac:dyDescent="0.25">
      <c r="A32" s="2">
        <v>44525</v>
      </c>
      <c r="B32" s="3" t="s">
        <v>7</v>
      </c>
      <c r="C32" s="4">
        <v>142.02065965623365</v>
      </c>
      <c r="E32" s="11"/>
      <c r="F32" s="11"/>
      <c r="G32" s="11"/>
      <c r="H32" s="11"/>
      <c r="I32" s="11"/>
      <c r="J32" s="11"/>
      <c r="K32" s="11"/>
      <c r="L32" s="11"/>
    </row>
    <row r="33" spans="1:12" x14ac:dyDescent="0.25">
      <c r="A33" s="2">
        <v>40216</v>
      </c>
      <c r="B33" s="3" t="s">
        <v>6</v>
      </c>
      <c r="C33" s="4">
        <v>109.36370913144498</v>
      </c>
      <c r="E33" s="11"/>
      <c r="F33" s="11"/>
      <c r="G33" s="11"/>
      <c r="H33" s="11"/>
      <c r="I33" s="11"/>
      <c r="J33" s="11"/>
      <c r="K33" s="11"/>
      <c r="L33" s="11"/>
    </row>
    <row r="34" spans="1:12" x14ac:dyDescent="0.25">
      <c r="A34" s="2">
        <v>44552</v>
      </c>
      <c r="B34" s="3" t="s">
        <v>7</v>
      </c>
      <c r="C34" s="4">
        <v>97.461568007792152</v>
      </c>
      <c r="E34" s="11"/>
      <c r="F34" s="11"/>
      <c r="G34" s="11"/>
      <c r="H34" s="11"/>
      <c r="I34" s="11"/>
      <c r="J34" s="11"/>
      <c r="K34" s="11"/>
      <c r="L34" s="11"/>
    </row>
    <row r="35" spans="1:12" x14ac:dyDescent="0.25">
      <c r="A35" s="2">
        <v>44537</v>
      </c>
      <c r="B35" s="3" t="s">
        <v>8</v>
      </c>
      <c r="C35" s="4">
        <v>106.97495654027685</v>
      </c>
      <c r="E35" s="11"/>
      <c r="F35" s="11"/>
      <c r="G35" s="11"/>
      <c r="H35" s="11"/>
      <c r="I35" s="11"/>
      <c r="J35" s="11"/>
      <c r="K35" s="11"/>
      <c r="L35" s="11"/>
    </row>
    <row r="36" spans="1:12" x14ac:dyDescent="0.25">
      <c r="A36" s="2">
        <v>44542</v>
      </c>
      <c r="B36" s="3" t="s">
        <v>3</v>
      </c>
      <c r="C36" s="4">
        <v>141.57332667912533</v>
      </c>
      <c r="E36" s="11"/>
      <c r="F36" s="11"/>
      <c r="G36" s="11"/>
      <c r="H36" s="11"/>
      <c r="I36" s="11"/>
      <c r="J36" s="11"/>
      <c r="K36" s="11"/>
      <c r="L36" s="11"/>
    </row>
    <row r="37" spans="1:12" x14ac:dyDescent="0.25">
      <c r="A37" s="2">
        <v>44560</v>
      </c>
      <c r="B37" s="3" t="s">
        <v>5</v>
      </c>
      <c r="C37" s="4">
        <v>60.803670658329565</v>
      </c>
    </row>
    <row r="38" spans="1:12" x14ac:dyDescent="0.25">
      <c r="A38" s="2">
        <v>44557</v>
      </c>
      <c r="B38" s="3" t="s">
        <v>3</v>
      </c>
      <c r="C38" s="4">
        <v>86.598618120934134</v>
      </c>
    </row>
    <row r="39" spans="1:12" x14ac:dyDescent="0.25">
      <c r="A39" s="2">
        <v>44559</v>
      </c>
      <c r="B39" s="3" t="s">
        <v>3</v>
      </c>
      <c r="C39" s="4">
        <v>65.139485759039474</v>
      </c>
    </row>
    <row r="40" spans="1:12" x14ac:dyDescent="0.25">
      <c r="A40" s="2">
        <v>40183</v>
      </c>
      <c r="B40" s="3" t="s">
        <v>4</v>
      </c>
      <c r="C40" s="4">
        <v>100.70360111320244</v>
      </c>
    </row>
    <row r="41" spans="1:12" x14ac:dyDescent="0.25">
      <c r="A41" s="2">
        <v>44545</v>
      </c>
      <c r="B41" s="3" t="s">
        <v>7</v>
      </c>
      <c r="C41" s="4">
        <v>143.16905308018065</v>
      </c>
    </row>
    <row r="42" spans="1:12" x14ac:dyDescent="0.25">
      <c r="A42" s="2">
        <v>44531</v>
      </c>
      <c r="B42" s="3" t="s">
        <v>7</v>
      </c>
      <c r="C42" s="4">
        <v>79.825011444725618</v>
      </c>
    </row>
    <row r="43" spans="1:12" x14ac:dyDescent="0.25">
      <c r="A43" s="2">
        <v>40216</v>
      </c>
      <c r="B43" s="3" t="s">
        <v>6</v>
      </c>
      <c r="C43" s="4">
        <v>128.43281715344082</v>
      </c>
    </row>
    <row r="44" spans="1:12" x14ac:dyDescent="0.25">
      <c r="A44" s="2">
        <v>44526</v>
      </c>
      <c r="B44" s="3" t="s">
        <v>8</v>
      </c>
      <c r="C44" s="4">
        <v>51.77490045470185</v>
      </c>
    </row>
    <row r="45" spans="1:12" x14ac:dyDescent="0.25">
      <c r="A45" s="2">
        <v>40182</v>
      </c>
      <c r="B45" s="3" t="s">
        <v>7</v>
      </c>
      <c r="C45" s="4">
        <v>76.317499333321649</v>
      </c>
    </row>
    <row r="46" spans="1:12" x14ac:dyDescent="0.25">
      <c r="A46" s="2">
        <v>40207</v>
      </c>
      <c r="B46" s="3" t="s">
        <v>6</v>
      </c>
      <c r="C46" s="4">
        <v>75.294355042902879</v>
      </c>
    </row>
    <row r="47" spans="1:12" x14ac:dyDescent="0.25">
      <c r="A47" s="2">
        <v>40197</v>
      </c>
      <c r="B47" s="3" t="s">
        <v>6</v>
      </c>
      <c r="C47" s="4">
        <v>60.412725681589478</v>
      </c>
    </row>
    <row r="48" spans="1:12" x14ac:dyDescent="0.25">
      <c r="A48" s="2">
        <v>40223</v>
      </c>
      <c r="B48" s="3" t="s">
        <v>5</v>
      </c>
      <c r="C48" s="4">
        <v>94.427395048891441</v>
      </c>
    </row>
    <row r="49" spans="1:3" x14ac:dyDescent="0.25">
      <c r="A49" s="2">
        <v>44533</v>
      </c>
      <c r="B49" s="3" t="s">
        <v>5</v>
      </c>
      <c r="C49" s="4">
        <v>144.42744898590649</v>
      </c>
    </row>
    <row r="50" spans="1:3" x14ac:dyDescent="0.25">
      <c r="A50" s="2">
        <v>40180</v>
      </c>
      <c r="B50" s="3" t="s">
        <v>8</v>
      </c>
      <c r="C50" s="4">
        <v>82.056405689388157</v>
      </c>
    </row>
    <row r="51" spans="1:3" x14ac:dyDescent="0.25">
      <c r="A51" s="2">
        <v>44559</v>
      </c>
      <c r="B51" s="3" t="s">
        <v>4</v>
      </c>
      <c r="C51" s="4">
        <v>87.140368137304222</v>
      </c>
    </row>
    <row r="52" spans="1:3" x14ac:dyDescent="0.25">
      <c r="A52" s="2">
        <v>44526</v>
      </c>
      <c r="B52" s="3" t="s">
        <v>3</v>
      </c>
      <c r="C52" s="4">
        <v>96.28818470154539</v>
      </c>
    </row>
    <row r="53" spans="1:3" x14ac:dyDescent="0.25">
      <c r="A53" s="2">
        <v>44554</v>
      </c>
      <c r="B53" s="3" t="s">
        <v>7</v>
      </c>
      <c r="C53" s="4">
        <v>77.799614504428689</v>
      </c>
    </row>
    <row r="54" spans="1:3" x14ac:dyDescent="0.25">
      <c r="A54" s="2">
        <v>44540</v>
      </c>
      <c r="B54" s="3" t="s">
        <v>4</v>
      </c>
      <c r="C54" s="4">
        <v>102.69506284767274</v>
      </c>
    </row>
    <row r="55" spans="1:3" x14ac:dyDescent="0.25">
      <c r="A55" s="2">
        <v>44561</v>
      </c>
      <c r="B55" s="3" t="s">
        <v>5</v>
      </c>
      <c r="C55" s="4">
        <v>141.9195429861131</v>
      </c>
    </row>
    <row r="56" spans="1:3" x14ac:dyDescent="0.25">
      <c r="A56" s="2">
        <v>44546</v>
      </c>
      <c r="B56" s="3" t="s">
        <v>6</v>
      </c>
      <c r="C56" s="4">
        <v>96.351202509074824</v>
      </c>
    </row>
    <row r="57" spans="1:3" x14ac:dyDescent="0.25">
      <c r="A57" s="2">
        <v>40181</v>
      </c>
      <c r="B57" s="3" t="s">
        <v>7</v>
      </c>
      <c r="C57" s="4">
        <v>85.051036452380259</v>
      </c>
    </row>
    <row r="58" spans="1:3" x14ac:dyDescent="0.25">
      <c r="A58" s="2">
        <v>44556</v>
      </c>
      <c r="B58" s="3" t="s">
        <v>3</v>
      </c>
      <c r="C58" s="4">
        <v>61.333386101662398</v>
      </c>
    </row>
    <row r="59" spans="1:3" x14ac:dyDescent="0.25">
      <c r="A59" s="2">
        <v>40183</v>
      </c>
      <c r="B59" s="3" t="s">
        <v>5</v>
      </c>
      <c r="C59" s="4">
        <v>97.694729291478353</v>
      </c>
    </row>
    <row r="60" spans="1:3" x14ac:dyDescent="0.25">
      <c r="A60" s="2">
        <v>44549</v>
      </c>
      <c r="B60" s="3" t="s">
        <v>5</v>
      </c>
      <c r="C60" s="4">
        <v>107.19357249637076</v>
      </c>
    </row>
    <row r="61" spans="1:3" x14ac:dyDescent="0.25">
      <c r="A61" s="2">
        <v>44520</v>
      </c>
      <c r="B61" s="3" t="s">
        <v>4</v>
      </c>
      <c r="C61" s="4">
        <v>140.18723604135664</v>
      </c>
    </row>
    <row r="62" spans="1:3" x14ac:dyDescent="0.25">
      <c r="A62" s="2">
        <v>40181</v>
      </c>
      <c r="B62" s="3" t="s">
        <v>5</v>
      </c>
      <c r="C62" s="4">
        <v>120.63997880506759</v>
      </c>
    </row>
    <row r="63" spans="1:3" x14ac:dyDescent="0.25">
      <c r="A63" s="2">
        <v>44544</v>
      </c>
      <c r="B63" s="3" t="s">
        <v>5</v>
      </c>
      <c r="C63" s="4">
        <v>91.709072232005724</v>
      </c>
    </row>
    <row r="64" spans="1:3" x14ac:dyDescent="0.25">
      <c r="A64" s="2">
        <v>40179</v>
      </c>
      <c r="B64" s="3" t="s">
        <v>8</v>
      </c>
      <c r="C64" s="4">
        <v>84.553142289010054</v>
      </c>
    </row>
    <row r="65" spans="1:3" x14ac:dyDescent="0.25">
      <c r="A65" s="2">
        <v>44527</v>
      </c>
      <c r="B65" s="3" t="s">
        <v>8</v>
      </c>
      <c r="C65" s="4">
        <v>139.47759931885804</v>
      </c>
    </row>
    <row r="66" spans="1:3" x14ac:dyDescent="0.25">
      <c r="A66" s="2">
        <v>40179</v>
      </c>
      <c r="B66" s="3" t="s">
        <v>7</v>
      </c>
      <c r="C66" s="4">
        <v>59.022044566795728</v>
      </c>
    </row>
    <row r="67" spans="1:3" x14ac:dyDescent="0.25">
      <c r="A67" s="2">
        <v>44533</v>
      </c>
      <c r="B67" s="3" t="s">
        <v>5</v>
      </c>
      <c r="C67" s="4">
        <v>95.374291787728936</v>
      </c>
    </row>
    <row r="68" spans="1:3" x14ac:dyDescent="0.25">
      <c r="A68" s="2">
        <v>44525</v>
      </c>
      <c r="B68" s="3" t="s">
        <v>5</v>
      </c>
      <c r="C68" s="4">
        <v>145.55609519806978</v>
      </c>
    </row>
    <row r="69" spans="1:3" x14ac:dyDescent="0.25">
      <c r="A69" s="2">
        <v>40185</v>
      </c>
      <c r="B69" s="3" t="s">
        <v>7</v>
      </c>
      <c r="C69" s="4">
        <v>88.106379049236182</v>
      </c>
    </row>
    <row r="70" spans="1:3" x14ac:dyDescent="0.25">
      <c r="A70" s="2">
        <v>40211</v>
      </c>
      <c r="B70" s="3" t="s">
        <v>5</v>
      </c>
      <c r="C70" s="4">
        <v>58.405604838140306</v>
      </c>
    </row>
    <row r="71" spans="1:3" x14ac:dyDescent="0.25">
      <c r="A71" s="2">
        <v>40217</v>
      </c>
      <c r="B71" s="3" t="s">
        <v>4</v>
      </c>
      <c r="C71" s="4">
        <v>144.27795335904972</v>
      </c>
    </row>
    <row r="72" spans="1:3" x14ac:dyDescent="0.25">
      <c r="A72" s="2">
        <v>40191</v>
      </c>
      <c r="B72" s="3" t="s">
        <v>5</v>
      </c>
      <c r="C72" s="4">
        <v>72.708311776441008</v>
      </c>
    </row>
    <row r="73" spans="1:3" x14ac:dyDescent="0.25">
      <c r="A73" s="2">
        <v>44520</v>
      </c>
      <c r="B73" s="3" t="s">
        <v>5</v>
      </c>
      <c r="C73" s="4">
        <v>101.39781111329017</v>
      </c>
    </row>
    <row r="74" spans="1:3" x14ac:dyDescent="0.25">
      <c r="A74" s="2">
        <v>44553</v>
      </c>
      <c r="B74" s="3" t="s">
        <v>4</v>
      </c>
      <c r="C74" s="4">
        <v>139.59032359592817</v>
      </c>
    </row>
    <row r="75" spans="1:3" x14ac:dyDescent="0.25">
      <c r="A75" s="2">
        <v>44526</v>
      </c>
      <c r="B75" s="3" t="s">
        <v>8</v>
      </c>
      <c r="C75" s="4">
        <v>148.04871783031004</v>
      </c>
    </row>
    <row r="76" spans="1:3" x14ac:dyDescent="0.25">
      <c r="A76" s="2">
        <v>44531</v>
      </c>
      <c r="B76" s="3" t="s">
        <v>8</v>
      </c>
      <c r="C76" s="4">
        <v>147.22616537206349</v>
      </c>
    </row>
    <row r="77" spans="1:3" x14ac:dyDescent="0.25">
      <c r="A77" s="2">
        <v>44529</v>
      </c>
      <c r="B77" s="3" t="s">
        <v>7</v>
      </c>
      <c r="C77" s="4">
        <v>68.057051593002058</v>
      </c>
    </row>
    <row r="78" spans="1:3" x14ac:dyDescent="0.25">
      <c r="A78" s="2">
        <v>40191</v>
      </c>
      <c r="B78" s="3" t="s">
        <v>5</v>
      </c>
      <c r="C78" s="4">
        <v>59.981073254224043</v>
      </c>
    </row>
    <row r="79" spans="1:3" x14ac:dyDescent="0.25">
      <c r="A79" s="2">
        <v>40187</v>
      </c>
      <c r="B79" s="3" t="s">
        <v>7</v>
      </c>
      <c r="C79" s="4">
        <v>128.07408047307865</v>
      </c>
    </row>
    <row r="80" spans="1:3" x14ac:dyDescent="0.25">
      <c r="A80" s="2">
        <v>40208</v>
      </c>
      <c r="B80" s="3" t="s">
        <v>8</v>
      </c>
      <c r="C80" s="4">
        <v>98.297278582514224</v>
      </c>
    </row>
    <row r="81" spans="1:14" x14ac:dyDescent="0.25">
      <c r="A81" s="2">
        <v>40213</v>
      </c>
      <c r="B81" s="3" t="s">
        <v>4</v>
      </c>
      <c r="C81" s="4">
        <v>99.988423120581757</v>
      </c>
    </row>
    <row r="82" spans="1:14" x14ac:dyDescent="0.25">
      <c r="A82" s="2">
        <v>40180</v>
      </c>
      <c r="B82" s="3" t="s">
        <v>8</v>
      </c>
      <c r="C82" s="4">
        <v>118.19641565294114</v>
      </c>
    </row>
    <row r="83" spans="1:14" x14ac:dyDescent="0.25">
      <c r="A83" s="2">
        <v>40194</v>
      </c>
      <c r="B83" s="3" t="s">
        <v>4</v>
      </c>
      <c r="C83" s="4">
        <v>123.12917636855735</v>
      </c>
    </row>
    <row r="84" spans="1:14" x14ac:dyDescent="0.25">
      <c r="A84" s="2">
        <v>44558</v>
      </c>
      <c r="B84" s="3" t="s">
        <v>5</v>
      </c>
      <c r="C84" s="4">
        <v>128.38555086682493</v>
      </c>
    </row>
    <row r="85" spans="1:14" x14ac:dyDescent="0.25">
      <c r="A85" s="2">
        <v>44556</v>
      </c>
      <c r="B85" s="3" t="s">
        <v>7</v>
      </c>
      <c r="C85" s="4">
        <v>114.12641672973976</v>
      </c>
    </row>
    <row r="86" spans="1:14" x14ac:dyDescent="0.25">
      <c r="A86" s="2">
        <v>44528</v>
      </c>
      <c r="B86" s="3" t="s">
        <v>8</v>
      </c>
      <c r="C86" s="4">
        <v>89.89573109666236</v>
      </c>
    </row>
    <row r="87" spans="1:14" x14ac:dyDescent="0.25">
      <c r="A87" s="2">
        <v>40211</v>
      </c>
      <c r="B87" s="3" t="s">
        <v>5</v>
      </c>
      <c r="C87" s="4">
        <v>83.783988098509127</v>
      </c>
    </row>
    <row r="88" spans="1:14" x14ac:dyDescent="0.25">
      <c r="A88" s="2">
        <v>44557</v>
      </c>
      <c r="B88" s="3" t="s">
        <v>4</v>
      </c>
      <c r="C88" s="4">
        <v>113.98765337323684</v>
      </c>
    </row>
    <row r="89" spans="1:14" x14ac:dyDescent="0.25">
      <c r="A89" s="2">
        <v>40210</v>
      </c>
      <c r="B89" s="3" t="s">
        <v>3</v>
      </c>
      <c r="C89" s="4">
        <v>99.553917421618308</v>
      </c>
    </row>
    <row r="90" spans="1:14" x14ac:dyDescent="0.25">
      <c r="A90" s="2">
        <v>44555</v>
      </c>
      <c r="B90" s="3" t="s">
        <v>5</v>
      </c>
      <c r="C90" s="4">
        <v>83.663718504764319</v>
      </c>
    </row>
    <row r="91" spans="1:14" x14ac:dyDescent="0.25">
      <c r="A91" s="2">
        <v>40195</v>
      </c>
      <c r="B91" s="3" t="s">
        <v>7</v>
      </c>
      <c r="C91" s="4">
        <v>118.97272940214705</v>
      </c>
    </row>
    <row r="92" spans="1:14" x14ac:dyDescent="0.25">
      <c r="A92" s="2">
        <v>40193</v>
      </c>
      <c r="B92" s="3" t="s">
        <v>8</v>
      </c>
      <c r="C92" s="4">
        <v>103.99468618499898</v>
      </c>
      <c r="N92" t="e">
        <f>#REF!-#REF!</f>
        <v>#REF!</v>
      </c>
    </row>
    <row r="93" spans="1:14" x14ac:dyDescent="0.25">
      <c r="A93" s="2">
        <v>40188</v>
      </c>
      <c r="B93" s="3" t="s">
        <v>5</v>
      </c>
      <c r="C93" s="4">
        <v>57.125246968903951</v>
      </c>
      <c r="N93" t="e">
        <f>N92*0.8</f>
        <v>#REF!</v>
      </c>
    </row>
    <row r="94" spans="1:14" x14ac:dyDescent="0.25">
      <c r="A94" s="2">
        <v>40183</v>
      </c>
      <c r="B94" s="3" t="s">
        <v>4</v>
      </c>
      <c r="C94" s="4">
        <v>77.567126073145403</v>
      </c>
    </row>
    <row r="95" spans="1:14" x14ac:dyDescent="0.25">
      <c r="A95" s="2">
        <v>40198</v>
      </c>
      <c r="B95" s="3" t="s">
        <v>7</v>
      </c>
      <c r="C95" s="4">
        <v>101.60414712917483</v>
      </c>
    </row>
    <row r="96" spans="1:14" x14ac:dyDescent="0.25">
      <c r="A96" s="2">
        <v>44538</v>
      </c>
      <c r="B96" s="3" t="s">
        <v>3</v>
      </c>
      <c r="C96" s="4">
        <v>108.69524053301726</v>
      </c>
    </row>
    <row r="97" spans="1:3" x14ac:dyDescent="0.25">
      <c r="A97" s="2">
        <v>40194</v>
      </c>
      <c r="B97" s="3" t="s">
        <v>6</v>
      </c>
      <c r="C97" s="4">
        <v>148.50704718256654</v>
      </c>
    </row>
    <row r="98" spans="1:3" x14ac:dyDescent="0.25">
      <c r="A98" s="2">
        <v>44549</v>
      </c>
      <c r="B98" s="3" t="s">
        <v>4</v>
      </c>
      <c r="C98" s="4">
        <v>112.5577120252151</v>
      </c>
    </row>
    <row r="99" spans="1:3" x14ac:dyDescent="0.25">
      <c r="A99" s="2">
        <v>44547</v>
      </c>
      <c r="B99" s="3" t="s">
        <v>7</v>
      </c>
      <c r="C99" s="4">
        <v>106.61904754982831</v>
      </c>
    </row>
    <row r="100" spans="1:3" x14ac:dyDescent="0.25">
      <c r="A100" s="2">
        <v>40197</v>
      </c>
      <c r="B100" s="3" t="s">
        <v>7</v>
      </c>
      <c r="C100" s="4">
        <v>78.744914895945612</v>
      </c>
    </row>
    <row r="101" spans="1:3" x14ac:dyDescent="0.25">
      <c r="A101" s="2">
        <v>44521</v>
      </c>
      <c r="B101" s="3" t="s">
        <v>4</v>
      </c>
      <c r="C101" s="4">
        <v>90.198187201584858</v>
      </c>
    </row>
    <row r="102" spans="1:3" x14ac:dyDescent="0.25">
      <c r="A102" s="2">
        <v>40227</v>
      </c>
      <c r="B102" s="3" t="s">
        <v>4</v>
      </c>
      <c r="C102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661an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2021-08-12T08:54:47Z</dcterms:created>
  <dcterms:modified xsi:type="dcterms:W3CDTF">2021-08-13T06:37:54Z</dcterms:modified>
</cp:coreProperties>
</file>