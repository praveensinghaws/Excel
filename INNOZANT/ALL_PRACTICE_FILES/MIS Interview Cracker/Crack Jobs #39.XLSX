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ASSIGNMENT MASTER\MIS Interview Cracker\"/>
    </mc:Choice>
  </mc:AlternateContent>
  <xr:revisionPtr revIDLastSave="0" documentId="13_ncr:1_{23E40088-9DBB-4698-BC51-D61D94AD610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rack Jobs #39" sheetId="6" r:id="rId1"/>
  </sheets>
  <externalReferences>
    <externalReference r:id="rId2"/>
  </externalReferences>
  <definedNames>
    <definedName name="_xlcn.WorksheetConnection_PivotTableA1G6361" hidden="1">'[1]Pivot Table'!$A$1:$G$636</definedName>
    <definedName name="_xlcn.WorksheetConnection_PivotTableI1K6361" hidden="1">'[1]Pivot Table'!$I$1:$K$636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-01a98da6-9a8f-4d25-8f2d-1e662ecd20df" name="Range" connection="WorksheetConnection_Pivot Table!$I$1:$K$636"/>
          <x15:modelTable id="Range1-c6dd4316-e0da-4d3f-9bba-747ea7f931f9" name="Range1" connection="WorksheetConnection_Pivot Table!$A$1:$G$636"/>
        </x15:modelTables>
      </x15:dataModel>
    </ext>
  </extLst>
</workbook>
</file>

<file path=xl/calcChain.xml><?xml version="1.0" encoding="utf-8"?>
<calcChain xmlns="http://schemas.openxmlformats.org/spreadsheetml/2006/main">
  <c r="C189" i="6" l="1"/>
  <c r="C190" i="6"/>
  <c r="C191" i="6"/>
  <c r="C192" i="6"/>
  <c r="C193" i="6"/>
  <c r="C188" i="6"/>
  <c r="E174" i="6" l="1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D175" i="6"/>
  <c r="D176" i="6"/>
  <c r="D177" i="6"/>
  <c r="D178" i="6"/>
  <c r="D179" i="6"/>
  <c r="D180" i="6"/>
  <c r="D181" i="6"/>
  <c r="D174" i="6"/>
  <c r="C175" i="6"/>
  <c r="C176" i="6"/>
  <c r="C177" i="6"/>
  <c r="C178" i="6"/>
  <c r="C179" i="6"/>
  <c r="C180" i="6"/>
  <c r="C181" i="6"/>
  <c r="C17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14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22" i="6"/>
  <c r="F8" i="6"/>
  <c r="F9" i="6"/>
  <c r="F10" i="6"/>
  <c r="F11" i="6"/>
  <c r="F12" i="6"/>
  <c r="F13" i="6"/>
  <c r="F14" i="6"/>
  <c r="F15" i="6"/>
  <c r="F7" i="6"/>
  <c r="D8" i="6"/>
  <c r="D9" i="6"/>
  <c r="D10" i="6"/>
  <c r="D11" i="6"/>
  <c r="D12" i="6"/>
  <c r="D13" i="6"/>
  <c r="D14" i="6"/>
  <c r="D15" i="6"/>
  <c r="D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ivot Table!$A$1:$G$636" type="102" refreshedVersion="5" minRefreshableVersion="5">
    <extLst>
      <ext xmlns:x15="http://schemas.microsoft.com/office/spreadsheetml/2010/11/main" uri="{DE250136-89BD-433C-8126-D09CA5730AF9}">
        <x15:connection id="Range1-c6dd4316-e0da-4d3f-9bba-747ea7f931f9" autoDelete="1">
          <x15:rangePr sourceName="_xlcn.WorksheetConnection_PivotTableA1G6361"/>
        </x15:connection>
      </ext>
    </extLst>
  </connection>
  <connection id="3" xr16:uid="{00000000-0015-0000-FFFF-FFFF02000000}" name="WorksheetConnection_Pivot Table!$I$1:$K$636" type="102" refreshedVersion="5" minRefreshableVersion="5">
    <extLst>
      <ext xmlns:x15="http://schemas.microsoft.com/office/spreadsheetml/2010/11/main" uri="{DE250136-89BD-433C-8126-D09CA5730AF9}">
        <x15:connection id="Range-01a98da6-9a8f-4d25-8f2d-1e662ecd20df" autoDelete="1">
          <x15:rangePr sourceName="_xlcn.WorksheetConnection_PivotTableI1K6361"/>
        </x15:connection>
      </ext>
    </extLst>
  </connection>
</connections>
</file>

<file path=xl/sharedStrings.xml><?xml version="1.0" encoding="utf-8"?>
<sst xmlns="http://schemas.openxmlformats.org/spreadsheetml/2006/main" count="88" uniqueCount="60">
  <si>
    <t>Product Name</t>
  </si>
  <si>
    <t>Date</t>
  </si>
  <si>
    <t>Amount</t>
  </si>
  <si>
    <t>Quarter(Jan-Dec)</t>
  </si>
  <si>
    <t>Year</t>
  </si>
  <si>
    <t>Quarter(Apr-Mar)</t>
  </si>
  <si>
    <t>Name</t>
  </si>
  <si>
    <t>Salary</t>
  </si>
  <si>
    <t>Hire
Date</t>
  </si>
  <si>
    <t xml:space="preserve">Service Days </t>
  </si>
  <si>
    <t>Service Months</t>
  </si>
  <si>
    <t>Service Years</t>
  </si>
  <si>
    <t>Job Rating</t>
  </si>
  <si>
    <t>New Salary</t>
  </si>
  <si>
    <t>State</t>
  </si>
  <si>
    <t>Pay Rate</t>
  </si>
  <si>
    <t>Hours</t>
  </si>
  <si>
    <t>Gross Pay</t>
  </si>
  <si>
    <t>reduction %</t>
  </si>
  <si>
    <t>Guwahati</t>
  </si>
  <si>
    <t>Bihar</t>
  </si>
  <si>
    <t>Chhattisgarh</t>
  </si>
  <si>
    <t>Delhi </t>
  </si>
  <si>
    <t>Goa</t>
  </si>
  <si>
    <t>Gujarat</t>
  </si>
  <si>
    <t>EMPL Code</t>
  </si>
  <si>
    <t>Asam</t>
  </si>
  <si>
    <t>Emp Code</t>
  </si>
  <si>
    <t>Please do not make any changes to the given raw data.</t>
  </si>
  <si>
    <t>1. Find Quarter from Date: : [Use Month(Date) Formula]</t>
  </si>
  <si>
    <t>Samsung</t>
  </si>
  <si>
    <t>Nokia</t>
  </si>
  <si>
    <t>Oppo</t>
  </si>
  <si>
    <t>2. Calculate Days, Months and Year from Hire Date To Till Date</t>
  </si>
  <si>
    <t xml:space="preserve">3. Find new salary after increase or decrease
1. If the job rating is equal or more than 3, then salary will increase by 7.5%
2. If the job rating is 1 or 2, the salary will be reduced by 7.5% </t>
  </si>
  <si>
    <t>INZ888</t>
  </si>
  <si>
    <t>INZ648</t>
  </si>
  <si>
    <t>INZ620</t>
  </si>
  <si>
    <t>INZ902</t>
  </si>
  <si>
    <t>INZ903</t>
  </si>
  <si>
    <t>INZ564</t>
  </si>
  <si>
    <t>INZ326</t>
  </si>
  <si>
    <t>INZ887</t>
  </si>
  <si>
    <t>Nishit Sarkar</t>
  </si>
  <si>
    <t>Prabha Saini</t>
  </si>
  <si>
    <t>Suhail Khan</t>
  </si>
  <si>
    <t>Karamjeet Kaur</t>
  </si>
  <si>
    <t>Mihir Parashar</t>
  </si>
  <si>
    <t>UP</t>
  </si>
  <si>
    <t>Aarti Awasthi</t>
  </si>
  <si>
    <t>Anika Sharma</t>
  </si>
  <si>
    <t>Papan Vats</t>
  </si>
  <si>
    <t>4. Find The State,Pay Rate, Hours,Dependents</t>
  </si>
  <si>
    <t>Start Date</t>
  </si>
  <si>
    <t>End Date</t>
  </si>
  <si>
    <t>Net Working Days</t>
  </si>
  <si>
    <t>Holidays</t>
  </si>
  <si>
    <t>Using Networkdays with Holiday</t>
  </si>
  <si>
    <t>Sample</t>
  </si>
  <si>
    <t>5. Find The  Net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</si>
</sst>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%;\(0.00%\)"/>
    <numFmt numFmtId="167" formatCode="000\-00\-0000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 tint="0.34998626667073579"/>
      <name val="Cambria"/>
      <family val="2"/>
      <scheme val="maj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name val="Calibri"/>
      <family val="2"/>
    </font>
    <font>
      <sz val="14"/>
      <name val="Arial"/>
      <family val="2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1"/>
      <color theme="0"/>
      <name val="Calibri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4" fillId="0" borderId="0"/>
    <xf numFmtId="43" fontId="4" fillId="0" borderId="0" applyFont="0" applyFill="0" applyBorder="0" applyAlignment="0" applyProtection="0"/>
    <xf numFmtId="0" fontId="7" fillId="3" borderId="5"/>
    <xf numFmtId="9" fontId="4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8" fillId="4" borderId="1" xfId="0" applyNumberFormat="1" applyFont="1" applyFill="1" applyBorder="1" applyAlignment="1" applyProtection="1">
      <alignment horizontal="center" vertical="center" wrapText="1"/>
    </xf>
    <xf numFmtId="15" fontId="11" fillId="0" borderId="1" xfId="0" applyNumberFormat="1" applyFont="1" applyBorder="1" applyAlignment="1" applyProtection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5" fontId="11" fillId="0" borderId="1" xfId="4" applyNumberFormat="1" applyFont="1" applyBorder="1" applyAlignment="1" applyProtection="1">
      <alignment horizontal="center" vertical="center" wrapText="1"/>
    </xf>
    <xf numFmtId="165" fontId="5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3" applyFont="1" applyFill="1" applyBorder="1" applyAlignment="1" applyProtection="1">
      <alignment horizontal="center" vertical="center" wrapText="1"/>
      <protection locked="0"/>
    </xf>
    <xf numFmtId="9" fontId="5" fillId="4" borderId="1" xfId="6" applyFont="1" applyFill="1" applyBorder="1" applyAlignment="1" applyProtection="1">
      <alignment horizontal="center" vertical="center" wrapText="1"/>
      <protection locked="0"/>
    </xf>
    <xf numFmtId="43" fontId="5" fillId="4" borderId="1" xfId="4" applyFont="1" applyFill="1" applyBorder="1" applyAlignment="1" applyProtection="1">
      <alignment horizontal="center" vertical="center" wrapText="1"/>
    </xf>
    <xf numFmtId="165" fontId="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3" applyFont="1" applyBorder="1" applyAlignment="1" applyProtection="1">
      <alignment horizontal="center" vertical="center" wrapText="1"/>
      <protection locked="0"/>
    </xf>
    <xf numFmtId="166" fontId="5" fillId="0" borderId="1" xfId="6" applyNumberFormat="1" applyFont="1" applyFill="1" applyBorder="1" applyAlignment="1" applyProtection="1">
      <alignment horizontal="center" vertical="center" wrapText="1"/>
      <protection locked="0"/>
    </xf>
    <xf numFmtId="165" fontId="6" fillId="0" borderId="1" xfId="1" applyNumberFormat="1" applyFont="1" applyBorder="1" applyAlignment="1" applyProtection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167" fontId="9" fillId="5" borderId="1" xfId="0" applyNumberFormat="1" applyFont="1" applyFill="1" applyBorder="1" applyAlignment="1" applyProtection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3" fontId="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15" fontId="15" fillId="0" borderId="1" xfId="2" applyNumberFormat="1" applyFont="1" applyBorder="1" applyAlignment="1">
      <alignment horizontal="center" vertical="center" wrapText="1"/>
    </xf>
    <xf numFmtId="0" fontId="16" fillId="0" borderId="1" xfId="2" applyNumberFormat="1" applyFont="1" applyFill="1" applyBorder="1" applyAlignment="1">
      <alignment horizontal="center" vertical="center" wrapText="1"/>
    </xf>
    <xf numFmtId="0" fontId="16" fillId="0" borderId="1" xfId="2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67" fontId="17" fillId="6" borderId="1" xfId="0" applyNumberFormat="1" applyFont="1" applyFill="1" applyBorder="1" applyAlignment="1" applyProtection="1">
      <alignment horizontal="center" vertical="center" wrapText="1"/>
    </xf>
    <xf numFmtId="0" fontId="15" fillId="0" borderId="1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" fontId="18" fillId="0" borderId="0" xfId="1" applyNumberFormat="1" applyFont="1" applyFill="1" applyBorder="1" applyAlignment="1">
      <alignment horizontal="center" vertical="center" wrapText="1"/>
    </xf>
    <xf numFmtId="168" fontId="18" fillId="0" borderId="0" xfId="8" applyNumberFormat="1" applyFont="1" applyFill="1" applyBorder="1" applyAlignment="1">
      <alignment vertical="center" wrapText="1"/>
    </xf>
    <xf numFmtId="168" fontId="18" fillId="0" borderId="0" xfId="0" applyNumberFormat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4" fontId="10" fillId="0" borderId="1" xfId="3" applyNumberFormat="1" applyFont="1" applyBorder="1" applyAlignment="1">
      <alignment horizontal="center" vertical="center" wrapText="1"/>
    </xf>
    <xf numFmtId="14" fontId="10" fillId="0" borderId="1" xfId="4" applyNumberFormat="1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7" fillId="6" borderId="2" xfId="3" applyFont="1" applyFill="1" applyBorder="1" applyAlignment="1">
      <alignment horizontal="center" vertical="center" wrapText="1"/>
    </xf>
    <xf numFmtId="0" fontId="17" fillId="0" borderId="0" xfId="3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9">
    <cellStyle name="Comma" xfId="1" builtinId="3"/>
    <cellStyle name="Comma 2" xfId="4" xr:uid="{00000000-0005-0000-0000-000001000000}"/>
    <cellStyle name="MyBlue" xfId="5" xr:uid="{00000000-0005-0000-0000-000002000000}"/>
    <cellStyle name="Normal" xfId="0" builtinId="0"/>
    <cellStyle name="Normal 2" xfId="3" xr:uid="{00000000-0005-0000-0000-000004000000}"/>
    <cellStyle name="Normal 27" xfId="2" xr:uid="{00000000-0005-0000-0000-000005000000}"/>
    <cellStyle name="Normal 3" xfId="7" xr:uid="{00000000-0005-0000-0000-000006000000}"/>
    <cellStyle name="Percent" xfId="8" builtinId="5"/>
    <cellStyle name="Percent 2" xfId="6" xr:uid="{00000000-0005-0000-0000-000008000000}"/>
  </cellStyles>
  <dxfs count="3"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175</xdr:row>
      <xdr:rowOff>0</xdr:rowOff>
    </xdr:from>
    <xdr:to>
      <xdr:col>8</xdr:col>
      <xdr:colOff>85725</xdr:colOff>
      <xdr:row>175</xdr:row>
      <xdr:rowOff>133350</xdr:rowOff>
    </xdr:to>
    <xdr:pic>
      <xdr:nvPicPr>
        <xdr:cNvPr id="2" name="Picture 1" descr="union territory">
          <a:extLst>
            <a:ext uri="{FF2B5EF4-FFF2-40B4-BE49-F238E27FC236}">
              <a16:creationId xmlns:a16="http://schemas.microsoft.com/office/drawing/2014/main" id="{F4543DC9-A5F2-4927-B0EE-E45E286D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360545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85725</xdr:colOff>
      <xdr:row>177</xdr:row>
      <xdr:rowOff>133350</xdr:rowOff>
    </xdr:to>
    <xdr:pic>
      <xdr:nvPicPr>
        <xdr:cNvPr id="3" name="Picture 2" descr="union territory">
          <a:extLst>
            <a:ext uri="{FF2B5EF4-FFF2-40B4-BE49-F238E27FC236}">
              <a16:creationId xmlns:a16="http://schemas.microsoft.com/office/drawing/2014/main" id="{D0CFE848-1988-4554-8CA0-85723495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408170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85725</xdr:colOff>
      <xdr:row>178</xdr:row>
      <xdr:rowOff>133350</xdr:rowOff>
    </xdr:to>
    <xdr:pic>
      <xdr:nvPicPr>
        <xdr:cNvPr id="4" name="Picture 3" descr="union territory">
          <a:extLst>
            <a:ext uri="{FF2B5EF4-FFF2-40B4-BE49-F238E27FC236}">
              <a16:creationId xmlns:a16="http://schemas.microsoft.com/office/drawing/2014/main" id="{BBAFA214-D4CF-4127-9B36-AF23262B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43198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85725</xdr:colOff>
      <xdr:row>175</xdr:row>
      <xdr:rowOff>133350</xdr:rowOff>
    </xdr:to>
    <xdr:pic>
      <xdr:nvPicPr>
        <xdr:cNvPr id="5" name="Picture 4" descr="union territory">
          <a:extLst>
            <a:ext uri="{FF2B5EF4-FFF2-40B4-BE49-F238E27FC236}">
              <a16:creationId xmlns:a16="http://schemas.microsoft.com/office/drawing/2014/main" id="{9A3F1B8E-2BC4-4D01-8EA4-EACA9ED1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360545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85725</xdr:colOff>
      <xdr:row>177</xdr:row>
      <xdr:rowOff>133350</xdr:rowOff>
    </xdr:to>
    <xdr:pic>
      <xdr:nvPicPr>
        <xdr:cNvPr id="6" name="Picture 5" descr="union territory">
          <a:extLst>
            <a:ext uri="{FF2B5EF4-FFF2-40B4-BE49-F238E27FC236}">
              <a16:creationId xmlns:a16="http://schemas.microsoft.com/office/drawing/2014/main" id="{09A50104-BD11-4477-AB72-7A93BF62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408170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85725</xdr:colOff>
      <xdr:row>178</xdr:row>
      <xdr:rowOff>133350</xdr:rowOff>
    </xdr:to>
    <xdr:pic>
      <xdr:nvPicPr>
        <xdr:cNvPr id="7" name="Picture 6" descr="union territory">
          <a:extLst>
            <a:ext uri="{FF2B5EF4-FFF2-40B4-BE49-F238E27FC236}">
              <a16:creationId xmlns:a16="http://schemas.microsoft.com/office/drawing/2014/main" id="{0C8B1A1A-21CA-43D5-A4F2-C1ACF7A5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43198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%20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FCFE-5C78-40C1-94F3-E68FCE94DED3}">
  <dimension ref="A1:O193"/>
  <sheetViews>
    <sheetView tabSelected="1" topLeftCell="A192" zoomScale="73" zoomScaleNormal="73" workbookViewId="0">
      <selection activeCell="A208" sqref="A208"/>
    </sheetView>
  </sheetViews>
  <sheetFormatPr defaultColWidth="8.7109375" defaultRowHeight="15" x14ac:dyDescent="0.25"/>
  <cols>
    <col min="1" max="1" width="51.28515625" style="1" customWidth="1"/>
    <col min="2" max="2" width="18.5703125" style="1" customWidth="1"/>
    <col min="3" max="3" width="39.5703125" style="1" customWidth="1"/>
    <col min="4" max="4" width="31.85546875" style="1" customWidth="1"/>
    <col min="5" max="5" width="11.7109375" style="1" bestFit="1" customWidth="1"/>
    <col min="6" max="6" width="16.7109375" style="1" bestFit="1" customWidth="1"/>
    <col min="7" max="7" width="6.42578125" style="1" bestFit="1" customWidth="1"/>
    <col min="8" max="8" width="18.28515625" style="1" bestFit="1" customWidth="1"/>
    <col min="9" max="9" width="40.28515625" style="1" bestFit="1" customWidth="1"/>
    <col min="10" max="10" width="12.42578125" style="1" customWidth="1"/>
    <col min="11" max="11" width="13" style="1" bestFit="1" customWidth="1"/>
    <col min="12" max="12" width="22" style="1" bestFit="1" customWidth="1"/>
    <col min="13" max="13" width="14.42578125" style="1" bestFit="1" customWidth="1"/>
    <col min="14" max="14" width="9.7109375" style="1" customWidth="1"/>
    <col min="15" max="15" width="12" style="1" customWidth="1"/>
    <col min="16" max="16" width="15.28515625" style="1" bestFit="1" customWidth="1"/>
    <col min="17" max="17" width="8.7109375" style="1"/>
    <col min="18" max="18" width="12.28515625" style="1" customWidth="1"/>
    <col min="19" max="16384" width="8.7109375" style="1"/>
  </cols>
  <sheetData>
    <row r="1" spans="1:6" x14ac:dyDescent="0.25">
      <c r="A1" s="49" t="s">
        <v>28</v>
      </c>
      <c r="B1" s="49"/>
      <c r="C1" s="49"/>
    </row>
    <row r="2" spans="1:6" x14ac:dyDescent="0.25">
      <c r="A2" s="49"/>
      <c r="B2" s="49"/>
      <c r="C2" s="49"/>
    </row>
    <row r="5" spans="1:6" ht="30" x14ac:dyDescent="0.25">
      <c r="A5" s="33" t="s">
        <v>29</v>
      </c>
      <c r="B5" s="50"/>
      <c r="C5" s="51"/>
      <c r="D5" s="51"/>
      <c r="E5" s="51"/>
      <c r="F5" s="52"/>
    </row>
    <row r="6" spans="1:6" ht="3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6" x14ac:dyDescent="0.25">
      <c r="A7" s="29" t="s">
        <v>30</v>
      </c>
      <c r="B7" s="30">
        <v>42015</v>
      </c>
      <c r="C7" s="35">
        <v>30545</v>
      </c>
      <c r="D7" s="31" t="str">
        <f>IF(MONTH(B7)&lt;4,"1st Quarter",IF(MONTH(B7)&lt;7,"2nd Quarter",IF(MONTH(B7)&lt;10,"3rd Quarter","4th Quarter")))</f>
        <v>1st Quarter</v>
      </c>
      <c r="E7" s="32">
        <v>2015</v>
      </c>
      <c r="F7" s="31" t="str">
        <f>IF(AND(MONTH(B7)&gt;=4,MONTH(B7)&lt;=6),"1st Quarter",IF(AND(MONTH(B7)&gt;=7,MONTH(B7)&lt;=9),"2nd Quarter",IF(AND(MONTH(B7)&gt;=10,MONTH(B7)&lt;=12),"3rd Quarter","4th quarter")))</f>
        <v>4th quarter</v>
      </c>
    </row>
    <row r="8" spans="1:6" x14ac:dyDescent="0.25">
      <c r="A8" s="29" t="s">
        <v>31</v>
      </c>
      <c r="B8" s="30">
        <v>41764</v>
      </c>
      <c r="C8" s="35">
        <v>21873</v>
      </c>
      <c r="D8" s="31" t="str">
        <f t="shared" ref="D8:D15" si="0">IF(MONTH(B8)&lt;4,"1st Quarter",IF(MONTH(B8)&lt;7,"2nd Quarter",IF(MONTH(B8)&lt;10,"3rd Quarter","4th Quarter")))</f>
        <v>2nd Quarter</v>
      </c>
      <c r="E8" s="32">
        <v>2014</v>
      </c>
      <c r="F8" s="31" t="str">
        <f t="shared" ref="F8:F15" si="1">IF(AND(MONTH(B8)&gt;=4,MONTH(B8)&lt;=6),"1st Quarter",IF(AND(MONTH(B8)&gt;=7,MONTH(B8)&lt;=9),"2nd Quarter",IF(AND(MONTH(B8)&gt;=10,MONTH(B8)&lt;=12),"3rd Quarter","4th quarter")))</f>
        <v>1st Quarter</v>
      </c>
    </row>
    <row r="9" spans="1:6" x14ac:dyDescent="0.25">
      <c r="A9" s="29" t="s">
        <v>32</v>
      </c>
      <c r="B9" s="30">
        <v>41145</v>
      </c>
      <c r="C9" s="35">
        <v>21872</v>
      </c>
      <c r="D9" s="31" t="str">
        <f t="shared" si="0"/>
        <v>3rd Quarter</v>
      </c>
      <c r="E9" s="32">
        <v>2012</v>
      </c>
      <c r="F9" s="31" t="str">
        <f t="shared" si="1"/>
        <v>2nd Quarter</v>
      </c>
    </row>
    <row r="10" spans="1:6" x14ac:dyDescent="0.25">
      <c r="A10" s="29" t="s">
        <v>31</v>
      </c>
      <c r="B10" s="30">
        <v>41777</v>
      </c>
      <c r="C10" s="35">
        <v>25357</v>
      </c>
      <c r="D10" s="31" t="str">
        <f t="shared" si="0"/>
        <v>2nd Quarter</v>
      </c>
      <c r="E10" s="32">
        <v>2014</v>
      </c>
      <c r="F10" s="31" t="str">
        <f t="shared" si="1"/>
        <v>1st Quarter</v>
      </c>
    </row>
    <row r="11" spans="1:6" x14ac:dyDescent="0.25">
      <c r="A11" s="29" t="s">
        <v>32</v>
      </c>
      <c r="B11" s="30">
        <v>41591</v>
      </c>
      <c r="C11" s="35">
        <v>44430</v>
      </c>
      <c r="D11" s="31" t="str">
        <f t="shared" si="0"/>
        <v>4th Quarter</v>
      </c>
      <c r="E11" s="32">
        <v>2013</v>
      </c>
      <c r="F11" s="31" t="str">
        <f t="shared" si="1"/>
        <v>3rd Quarter</v>
      </c>
    </row>
    <row r="12" spans="1:6" x14ac:dyDescent="0.25">
      <c r="A12" s="29" t="s">
        <v>30</v>
      </c>
      <c r="B12" s="30">
        <v>41061</v>
      </c>
      <c r="C12" s="35">
        <v>45523</v>
      </c>
      <c r="D12" s="31" t="str">
        <f t="shared" si="0"/>
        <v>2nd Quarter</v>
      </c>
      <c r="E12" s="32">
        <v>2012</v>
      </c>
      <c r="F12" s="31" t="str">
        <f t="shared" si="1"/>
        <v>1st Quarter</v>
      </c>
    </row>
    <row r="13" spans="1:6" x14ac:dyDescent="0.25">
      <c r="A13" s="29" t="s">
        <v>31</v>
      </c>
      <c r="B13" s="30">
        <v>41353</v>
      </c>
      <c r="C13" s="35">
        <v>45565</v>
      </c>
      <c r="D13" s="31" t="str">
        <f t="shared" si="0"/>
        <v>1st Quarter</v>
      </c>
      <c r="E13" s="32">
        <v>2013</v>
      </c>
      <c r="F13" s="31" t="str">
        <f t="shared" si="1"/>
        <v>4th quarter</v>
      </c>
    </row>
    <row r="14" spans="1:6" x14ac:dyDescent="0.25">
      <c r="A14" s="29" t="s">
        <v>32</v>
      </c>
      <c r="B14" s="30">
        <v>41887</v>
      </c>
      <c r="C14" s="35">
        <v>29522</v>
      </c>
      <c r="D14" s="31" t="str">
        <f t="shared" si="0"/>
        <v>3rd Quarter</v>
      </c>
      <c r="E14" s="32">
        <v>2014</v>
      </c>
      <c r="F14" s="31" t="str">
        <f t="shared" si="1"/>
        <v>2nd Quarter</v>
      </c>
    </row>
    <row r="15" spans="1:6" x14ac:dyDescent="0.25">
      <c r="A15" s="29" t="s">
        <v>30</v>
      </c>
      <c r="B15" s="30">
        <v>41209</v>
      </c>
      <c r="C15" s="35">
        <v>39082</v>
      </c>
      <c r="D15" s="31" t="str">
        <f t="shared" si="0"/>
        <v>4th Quarter</v>
      </c>
      <c r="E15" s="32">
        <v>2012</v>
      </c>
      <c r="F15" s="31" t="str">
        <f t="shared" si="1"/>
        <v>3rd Quarter</v>
      </c>
    </row>
    <row r="18" spans="1:5" ht="30" x14ac:dyDescent="0.25">
      <c r="A18" s="33" t="s">
        <v>33</v>
      </c>
    </row>
    <row r="21" spans="1:5" ht="31.5" x14ac:dyDescent="0.25">
      <c r="A21" s="4" t="s">
        <v>8</v>
      </c>
      <c r="B21" s="4" t="s">
        <v>9</v>
      </c>
      <c r="C21" s="4" t="s">
        <v>10</v>
      </c>
      <c r="D21" s="4" t="s">
        <v>11</v>
      </c>
    </row>
    <row r="22" spans="1:5" ht="15.75" x14ac:dyDescent="0.25">
      <c r="A22" s="5">
        <v>42030</v>
      </c>
      <c r="B22" s="6">
        <f ca="1">DATEDIF(A22,TODAY(),"D")</f>
        <v>2289</v>
      </c>
      <c r="C22" s="7">
        <f ca="1">DATEDIF(A22,TODAY(),"m")</f>
        <v>75</v>
      </c>
      <c r="D22" s="8">
        <f ca="1">DATEDIF(A22,TODAY(),"Y")</f>
        <v>6</v>
      </c>
      <c r="E22" s="9"/>
    </row>
    <row r="23" spans="1:5" ht="15.75" x14ac:dyDescent="0.25">
      <c r="A23" s="5">
        <v>38137</v>
      </c>
      <c r="B23" s="6">
        <f t="shared" ref="B23:B86" ca="1" si="2">DATEDIF(A23,TODAY(),"D")</f>
        <v>6182</v>
      </c>
      <c r="C23" s="7">
        <f t="shared" ref="C23:C86" ca="1" si="3">DATEDIF(A23,TODAY(),"m")</f>
        <v>203</v>
      </c>
      <c r="D23" s="8">
        <f t="shared" ref="D23:D86" ca="1" si="4">DATEDIF(A23,TODAY(),"Y")</f>
        <v>16</v>
      </c>
      <c r="E23" s="9"/>
    </row>
    <row r="24" spans="1:5" ht="15.75" x14ac:dyDescent="0.25">
      <c r="A24" s="5">
        <v>31980</v>
      </c>
      <c r="B24" s="6">
        <f t="shared" ca="1" si="2"/>
        <v>12339</v>
      </c>
      <c r="C24" s="7">
        <f t="shared" ca="1" si="3"/>
        <v>405</v>
      </c>
      <c r="D24" s="8">
        <f t="shared" ca="1" si="4"/>
        <v>33</v>
      </c>
      <c r="E24" s="9"/>
    </row>
    <row r="25" spans="1:5" ht="15.75" x14ac:dyDescent="0.25">
      <c r="A25" s="5">
        <v>39404</v>
      </c>
      <c r="B25" s="6">
        <f t="shared" ca="1" si="2"/>
        <v>4915</v>
      </c>
      <c r="C25" s="7">
        <f t="shared" ca="1" si="3"/>
        <v>161</v>
      </c>
      <c r="D25" s="8">
        <f t="shared" ca="1" si="4"/>
        <v>13</v>
      </c>
      <c r="E25" s="9"/>
    </row>
    <row r="26" spans="1:5" ht="15.75" x14ac:dyDescent="0.25">
      <c r="A26" s="5">
        <v>37107</v>
      </c>
      <c r="B26" s="6">
        <f t="shared" ca="1" si="2"/>
        <v>7212</v>
      </c>
      <c r="C26" s="7">
        <f t="shared" ca="1" si="3"/>
        <v>236</v>
      </c>
      <c r="D26" s="8">
        <f t="shared" ca="1" si="4"/>
        <v>19</v>
      </c>
      <c r="E26" s="9"/>
    </row>
    <row r="27" spans="1:5" ht="15.75" x14ac:dyDescent="0.25">
      <c r="A27" s="5">
        <v>32521</v>
      </c>
      <c r="B27" s="6">
        <f t="shared" ca="1" si="2"/>
        <v>11798</v>
      </c>
      <c r="C27" s="7">
        <f t="shared" ca="1" si="3"/>
        <v>387</v>
      </c>
      <c r="D27" s="8">
        <f t="shared" ca="1" si="4"/>
        <v>32</v>
      </c>
      <c r="E27" s="9"/>
    </row>
    <row r="28" spans="1:5" ht="15.75" x14ac:dyDescent="0.25">
      <c r="A28" s="5">
        <v>34154</v>
      </c>
      <c r="B28" s="6">
        <f t="shared" ca="1" si="2"/>
        <v>10165</v>
      </c>
      <c r="C28" s="7">
        <f t="shared" ca="1" si="3"/>
        <v>333</v>
      </c>
      <c r="D28" s="8">
        <f t="shared" ca="1" si="4"/>
        <v>27</v>
      </c>
      <c r="E28" s="9"/>
    </row>
    <row r="29" spans="1:5" ht="15.75" x14ac:dyDescent="0.25">
      <c r="A29" s="5">
        <v>34432</v>
      </c>
      <c r="B29" s="6">
        <f t="shared" ca="1" si="2"/>
        <v>9887</v>
      </c>
      <c r="C29" s="7">
        <f t="shared" ca="1" si="3"/>
        <v>324</v>
      </c>
      <c r="D29" s="8">
        <f t="shared" ca="1" si="4"/>
        <v>27</v>
      </c>
      <c r="E29" s="9"/>
    </row>
    <row r="30" spans="1:5" ht="15.75" x14ac:dyDescent="0.25">
      <c r="A30" s="5">
        <v>34833</v>
      </c>
      <c r="B30" s="6">
        <f t="shared" ca="1" si="2"/>
        <v>9486</v>
      </c>
      <c r="C30" s="7">
        <f t="shared" ca="1" si="3"/>
        <v>311</v>
      </c>
      <c r="D30" s="8">
        <f t="shared" ca="1" si="4"/>
        <v>25</v>
      </c>
      <c r="E30" s="9"/>
    </row>
    <row r="31" spans="1:5" ht="15.75" x14ac:dyDescent="0.25">
      <c r="A31" s="5">
        <v>34950</v>
      </c>
      <c r="B31" s="6">
        <f t="shared" ca="1" si="2"/>
        <v>9369</v>
      </c>
      <c r="C31" s="7">
        <f t="shared" ca="1" si="3"/>
        <v>307</v>
      </c>
      <c r="D31" s="8">
        <f t="shared" ca="1" si="4"/>
        <v>25</v>
      </c>
      <c r="E31" s="9"/>
    </row>
    <row r="32" spans="1:5" ht="15.75" x14ac:dyDescent="0.25">
      <c r="A32" s="5">
        <v>35454</v>
      </c>
      <c r="B32" s="6">
        <f t="shared" ca="1" si="2"/>
        <v>8865</v>
      </c>
      <c r="C32" s="7">
        <f t="shared" ca="1" si="3"/>
        <v>291</v>
      </c>
      <c r="D32" s="8">
        <f t="shared" ca="1" si="4"/>
        <v>24</v>
      </c>
      <c r="E32" s="9"/>
    </row>
    <row r="33" spans="1:5" ht="15.75" x14ac:dyDescent="0.25">
      <c r="A33" s="5">
        <v>36094</v>
      </c>
      <c r="B33" s="6">
        <f t="shared" ca="1" si="2"/>
        <v>8225</v>
      </c>
      <c r="C33" s="7">
        <f t="shared" ca="1" si="3"/>
        <v>270</v>
      </c>
      <c r="D33" s="8">
        <f t="shared" ca="1" si="4"/>
        <v>22</v>
      </c>
      <c r="E33" s="9"/>
    </row>
    <row r="34" spans="1:5" ht="15.75" x14ac:dyDescent="0.25">
      <c r="A34" s="5">
        <v>36832</v>
      </c>
      <c r="B34" s="6">
        <f t="shared" ca="1" si="2"/>
        <v>7487</v>
      </c>
      <c r="C34" s="7">
        <f t="shared" ca="1" si="3"/>
        <v>246</v>
      </c>
      <c r="D34" s="8">
        <f t="shared" ca="1" si="4"/>
        <v>20</v>
      </c>
      <c r="E34" s="9"/>
    </row>
    <row r="35" spans="1:5" ht="15.75" x14ac:dyDescent="0.25">
      <c r="A35" s="5">
        <v>37759</v>
      </c>
      <c r="B35" s="6">
        <f t="shared" ca="1" si="2"/>
        <v>6560</v>
      </c>
      <c r="C35" s="7">
        <f t="shared" ca="1" si="3"/>
        <v>215</v>
      </c>
      <c r="D35" s="8">
        <f t="shared" ca="1" si="4"/>
        <v>17</v>
      </c>
      <c r="E35" s="9"/>
    </row>
    <row r="36" spans="1:5" ht="15.75" x14ac:dyDescent="0.25">
      <c r="A36" s="5">
        <v>38394</v>
      </c>
      <c r="B36" s="6">
        <f t="shared" ca="1" si="2"/>
        <v>5925</v>
      </c>
      <c r="C36" s="7">
        <f t="shared" ca="1" si="3"/>
        <v>194</v>
      </c>
      <c r="D36" s="8">
        <f t="shared" ca="1" si="4"/>
        <v>16</v>
      </c>
      <c r="E36" s="9"/>
    </row>
    <row r="37" spans="1:5" ht="15.75" x14ac:dyDescent="0.25">
      <c r="A37" s="5">
        <v>32164</v>
      </c>
      <c r="B37" s="6">
        <f t="shared" ca="1" si="2"/>
        <v>12155</v>
      </c>
      <c r="C37" s="7">
        <f t="shared" ca="1" si="3"/>
        <v>399</v>
      </c>
      <c r="D37" s="8">
        <f t="shared" ca="1" si="4"/>
        <v>33</v>
      </c>
      <c r="E37" s="9"/>
    </row>
    <row r="38" spans="1:5" ht="15.75" x14ac:dyDescent="0.25">
      <c r="A38" s="5">
        <v>34907</v>
      </c>
      <c r="B38" s="6">
        <f t="shared" ca="1" si="2"/>
        <v>9412</v>
      </c>
      <c r="C38" s="7">
        <f t="shared" ca="1" si="3"/>
        <v>309</v>
      </c>
      <c r="D38" s="8">
        <f t="shared" ca="1" si="4"/>
        <v>25</v>
      </c>
      <c r="E38" s="9"/>
    </row>
    <row r="39" spans="1:5" ht="15.75" x14ac:dyDescent="0.25">
      <c r="A39" s="5">
        <v>36472</v>
      </c>
      <c r="B39" s="6">
        <f t="shared" ca="1" si="2"/>
        <v>7847</v>
      </c>
      <c r="C39" s="7">
        <f t="shared" ca="1" si="3"/>
        <v>257</v>
      </c>
      <c r="D39" s="8">
        <f t="shared" ca="1" si="4"/>
        <v>21</v>
      </c>
      <c r="E39" s="9"/>
    </row>
    <row r="40" spans="1:5" ht="15.75" x14ac:dyDescent="0.25">
      <c r="A40" s="5">
        <v>32172</v>
      </c>
      <c r="B40" s="6">
        <f t="shared" ca="1" si="2"/>
        <v>12147</v>
      </c>
      <c r="C40" s="7">
        <f t="shared" ca="1" si="3"/>
        <v>399</v>
      </c>
      <c r="D40" s="8">
        <f t="shared" ca="1" si="4"/>
        <v>33</v>
      </c>
      <c r="E40" s="9"/>
    </row>
    <row r="41" spans="1:5" ht="15.75" x14ac:dyDescent="0.25">
      <c r="A41" s="5">
        <v>38816</v>
      </c>
      <c r="B41" s="6">
        <f t="shared" ca="1" si="2"/>
        <v>5503</v>
      </c>
      <c r="C41" s="7">
        <f t="shared" ca="1" si="3"/>
        <v>180</v>
      </c>
      <c r="D41" s="8">
        <f t="shared" ca="1" si="4"/>
        <v>15</v>
      </c>
      <c r="E41" s="9"/>
    </row>
    <row r="42" spans="1:5" ht="15.75" x14ac:dyDescent="0.25">
      <c r="A42" s="5">
        <v>32766</v>
      </c>
      <c r="B42" s="6">
        <f t="shared" ca="1" si="2"/>
        <v>11553</v>
      </c>
      <c r="C42" s="7">
        <f t="shared" ca="1" si="3"/>
        <v>379</v>
      </c>
      <c r="D42" s="8">
        <f t="shared" ca="1" si="4"/>
        <v>31</v>
      </c>
      <c r="E42" s="9"/>
    </row>
    <row r="43" spans="1:5" ht="15.75" x14ac:dyDescent="0.25">
      <c r="A43" s="5">
        <v>35467</v>
      </c>
      <c r="B43" s="6">
        <f t="shared" ca="1" si="2"/>
        <v>8852</v>
      </c>
      <c r="C43" s="7">
        <f t="shared" ca="1" si="3"/>
        <v>290</v>
      </c>
      <c r="D43" s="8">
        <f t="shared" ca="1" si="4"/>
        <v>24</v>
      </c>
      <c r="E43" s="9"/>
    </row>
    <row r="44" spans="1:5" ht="15.75" x14ac:dyDescent="0.25">
      <c r="A44" s="5">
        <v>32241</v>
      </c>
      <c r="B44" s="6">
        <f t="shared" ca="1" si="2"/>
        <v>12078</v>
      </c>
      <c r="C44" s="7">
        <f t="shared" ca="1" si="3"/>
        <v>396</v>
      </c>
      <c r="D44" s="8">
        <f t="shared" ca="1" si="4"/>
        <v>33</v>
      </c>
      <c r="E44" s="9"/>
    </row>
    <row r="45" spans="1:5" ht="15.75" x14ac:dyDescent="0.25">
      <c r="A45" s="5">
        <v>32991</v>
      </c>
      <c r="B45" s="6">
        <f t="shared" ca="1" si="2"/>
        <v>11328</v>
      </c>
      <c r="C45" s="7">
        <f t="shared" ca="1" si="3"/>
        <v>372</v>
      </c>
      <c r="D45" s="8">
        <f t="shared" ca="1" si="4"/>
        <v>31</v>
      </c>
      <c r="E45" s="9"/>
    </row>
    <row r="46" spans="1:5" ht="15.75" x14ac:dyDescent="0.25">
      <c r="A46" s="5">
        <v>34149</v>
      </c>
      <c r="B46" s="6">
        <f t="shared" ca="1" si="2"/>
        <v>10170</v>
      </c>
      <c r="C46" s="7">
        <f t="shared" ca="1" si="3"/>
        <v>334</v>
      </c>
      <c r="D46" s="8">
        <f t="shared" ca="1" si="4"/>
        <v>27</v>
      </c>
      <c r="E46" s="9"/>
    </row>
    <row r="47" spans="1:5" ht="15.75" x14ac:dyDescent="0.25">
      <c r="A47" s="5">
        <v>34904</v>
      </c>
      <c r="B47" s="6">
        <f t="shared" ca="1" si="2"/>
        <v>9415</v>
      </c>
      <c r="C47" s="7">
        <f t="shared" ca="1" si="3"/>
        <v>309</v>
      </c>
      <c r="D47" s="8">
        <f t="shared" ca="1" si="4"/>
        <v>25</v>
      </c>
      <c r="E47" s="9"/>
    </row>
    <row r="48" spans="1:5" ht="15.75" x14ac:dyDescent="0.25">
      <c r="A48" s="5">
        <v>35309</v>
      </c>
      <c r="B48" s="6">
        <f t="shared" ca="1" si="2"/>
        <v>9010</v>
      </c>
      <c r="C48" s="7">
        <f t="shared" ca="1" si="3"/>
        <v>296</v>
      </c>
      <c r="D48" s="8">
        <f t="shared" ca="1" si="4"/>
        <v>24</v>
      </c>
      <c r="E48" s="9"/>
    </row>
    <row r="49" spans="1:5" ht="15.75" x14ac:dyDescent="0.25">
      <c r="A49" s="5">
        <v>35583</v>
      </c>
      <c r="B49" s="6">
        <f t="shared" ca="1" si="2"/>
        <v>8736</v>
      </c>
      <c r="C49" s="7">
        <f t="shared" ca="1" si="3"/>
        <v>287</v>
      </c>
      <c r="D49" s="8">
        <f t="shared" ca="1" si="4"/>
        <v>23</v>
      </c>
      <c r="E49" s="9"/>
    </row>
    <row r="50" spans="1:5" ht="15.75" x14ac:dyDescent="0.25">
      <c r="A50" s="5">
        <v>36741</v>
      </c>
      <c r="B50" s="6">
        <f t="shared" ca="1" si="2"/>
        <v>7578</v>
      </c>
      <c r="C50" s="7">
        <f t="shared" ca="1" si="3"/>
        <v>249</v>
      </c>
      <c r="D50" s="8">
        <f t="shared" ca="1" si="4"/>
        <v>20</v>
      </c>
      <c r="E50" s="9"/>
    </row>
    <row r="51" spans="1:5" ht="15.75" x14ac:dyDescent="0.25">
      <c r="A51" s="5">
        <v>38796</v>
      </c>
      <c r="B51" s="6">
        <f t="shared" ca="1" si="2"/>
        <v>5523</v>
      </c>
      <c r="C51" s="7">
        <f t="shared" ca="1" si="3"/>
        <v>181</v>
      </c>
      <c r="D51" s="8">
        <f t="shared" ca="1" si="4"/>
        <v>15</v>
      </c>
      <c r="E51" s="9"/>
    </row>
    <row r="52" spans="1:5" ht="15.75" x14ac:dyDescent="0.25">
      <c r="A52" s="5">
        <v>34254</v>
      </c>
      <c r="B52" s="6">
        <f t="shared" ca="1" si="2"/>
        <v>10065</v>
      </c>
      <c r="C52" s="7">
        <f t="shared" ca="1" si="3"/>
        <v>330</v>
      </c>
      <c r="D52" s="8">
        <f t="shared" ca="1" si="4"/>
        <v>27</v>
      </c>
      <c r="E52" s="9"/>
    </row>
    <row r="53" spans="1:5" ht="15.75" x14ac:dyDescent="0.25">
      <c r="A53" s="5">
        <v>34364</v>
      </c>
      <c r="B53" s="6">
        <f t="shared" ca="1" si="2"/>
        <v>9955</v>
      </c>
      <c r="C53" s="7">
        <f t="shared" ca="1" si="3"/>
        <v>327</v>
      </c>
      <c r="D53" s="8">
        <f t="shared" ca="1" si="4"/>
        <v>27</v>
      </c>
      <c r="E53" s="9"/>
    </row>
    <row r="54" spans="1:5" ht="15.75" x14ac:dyDescent="0.25">
      <c r="A54" s="5">
        <v>32403</v>
      </c>
      <c r="B54" s="6">
        <f t="shared" ca="1" si="2"/>
        <v>11916</v>
      </c>
      <c r="C54" s="7">
        <f t="shared" ca="1" si="3"/>
        <v>391</v>
      </c>
      <c r="D54" s="8">
        <f t="shared" ca="1" si="4"/>
        <v>32</v>
      </c>
      <c r="E54" s="9"/>
    </row>
    <row r="55" spans="1:5" ht="15.75" x14ac:dyDescent="0.25">
      <c r="A55" s="5">
        <v>38107</v>
      </c>
      <c r="B55" s="6">
        <f t="shared" ca="1" si="2"/>
        <v>6212</v>
      </c>
      <c r="C55" s="7">
        <f t="shared" ca="1" si="3"/>
        <v>204</v>
      </c>
      <c r="D55" s="8">
        <f t="shared" ca="1" si="4"/>
        <v>17</v>
      </c>
      <c r="E55" s="9"/>
    </row>
    <row r="56" spans="1:5" ht="15.75" x14ac:dyDescent="0.25">
      <c r="A56" s="5">
        <v>38842</v>
      </c>
      <c r="B56" s="6">
        <f t="shared" ca="1" si="2"/>
        <v>5477</v>
      </c>
      <c r="C56" s="7">
        <f t="shared" ca="1" si="3"/>
        <v>179</v>
      </c>
      <c r="D56" s="8">
        <f t="shared" ca="1" si="4"/>
        <v>14</v>
      </c>
      <c r="E56" s="9"/>
    </row>
    <row r="57" spans="1:5" ht="15.75" x14ac:dyDescent="0.25">
      <c r="A57" s="5">
        <v>34085</v>
      </c>
      <c r="B57" s="6">
        <f t="shared" ca="1" si="2"/>
        <v>10234</v>
      </c>
      <c r="C57" s="7">
        <f t="shared" ca="1" si="3"/>
        <v>336</v>
      </c>
      <c r="D57" s="8">
        <f t="shared" ca="1" si="4"/>
        <v>28</v>
      </c>
      <c r="E57" s="9"/>
    </row>
    <row r="58" spans="1:5" ht="15.75" x14ac:dyDescent="0.25">
      <c r="A58" s="5">
        <v>32038</v>
      </c>
      <c r="B58" s="6">
        <f t="shared" ca="1" si="2"/>
        <v>12281</v>
      </c>
      <c r="C58" s="7">
        <f t="shared" ca="1" si="3"/>
        <v>403</v>
      </c>
      <c r="D58" s="8">
        <f t="shared" ca="1" si="4"/>
        <v>33</v>
      </c>
      <c r="E58" s="9"/>
    </row>
    <row r="59" spans="1:5" ht="15.75" x14ac:dyDescent="0.25">
      <c r="A59" s="5">
        <v>32217</v>
      </c>
      <c r="B59" s="6">
        <f t="shared" ca="1" si="2"/>
        <v>12102</v>
      </c>
      <c r="C59" s="7">
        <f t="shared" ca="1" si="3"/>
        <v>397</v>
      </c>
      <c r="D59" s="8">
        <f t="shared" ca="1" si="4"/>
        <v>33</v>
      </c>
      <c r="E59" s="9"/>
    </row>
    <row r="60" spans="1:5" ht="15.75" x14ac:dyDescent="0.25">
      <c r="A60" s="5">
        <v>32265</v>
      </c>
      <c r="B60" s="6">
        <f t="shared" ca="1" si="2"/>
        <v>12054</v>
      </c>
      <c r="C60" s="7">
        <f t="shared" ca="1" si="3"/>
        <v>396</v>
      </c>
      <c r="D60" s="8">
        <f t="shared" ca="1" si="4"/>
        <v>33</v>
      </c>
      <c r="E60" s="9"/>
    </row>
    <row r="61" spans="1:5" ht="15.75" x14ac:dyDescent="0.25">
      <c r="A61" s="5">
        <v>32436</v>
      </c>
      <c r="B61" s="6">
        <f t="shared" ca="1" si="2"/>
        <v>11883</v>
      </c>
      <c r="C61" s="7">
        <f t="shared" ca="1" si="3"/>
        <v>390</v>
      </c>
      <c r="D61" s="8">
        <f t="shared" ca="1" si="4"/>
        <v>32</v>
      </c>
      <c r="E61" s="9"/>
    </row>
    <row r="62" spans="1:5" ht="15.75" x14ac:dyDescent="0.25">
      <c r="A62" s="5">
        <v>32476</v>
      </c>
      <c r="B62" s="6">
        <f t="shared" ca="1" si="2"/>
        <v>11843</v>
      </c>
      <c r="C62" s="7">
        <f t="shared" ca="1" si="3"/>
        <v>389</v>
      </c>
      <c r="D62" s="8">
        <f t="shared" ca="1" si="4"/>
        <v>32</v>
      </c>
      <c r="E62" s="9"/>
    </row>
    <row r="63" spans="1:5" ht="15.75" x14ac:dyDescent="0.25">
      <c r="A63" s="5">
        <v>32585</v>
      </c>
      <c r="B63" s="6">
        <f t="shared" ca="1" si="2"/>
        <v>11734</v>
      </c>
      <c r="C63" s="7">
        <f t="shared" ca="1" si="3"/>
        <v>385</v>
      </c>
      <c r="D63" s="8">
        <f t="shared" ca="1" si="4"/>
        <v>32</v>
      </c>
      <c r="E63" s="9"/>
    </row>
    <row r="64" spans="1:5" ht="15.75" x14ac:dyDescent="0.25">
      <c r="A64" s="5">
        <v>33164</v>
      </c>
      <c r="B64" s="6">
        <f t="shared" ca="1" si="2"/>
        <v>11155</v>
      </c>
      <c r="C64" s="7">
        <f t="shared" ca="1" si="3"/>
        <v>366</v>
      </c>
      <c r="D64" s="8">
        <f t="shared" ca="1" si="4"/>
        <v>30</v>
      </c>
      <c r="E64" s="9"/>
    </row>
    <row r="65" spans="1:5" ht="15.75" x14ac:dyDescent="0.25">
      <c r="A65" s="5">
        <v>33522</v>
      </c>
      <c r="B65" s="6">
        <f t="shared" ca="1" si="2"/>
        <v>10797</v>
      </c>
      <c r="C65" s="7">
        <f t="shared" ca="1" si="3"/>
        <v>354</v>
      </c>
      <c r="D65" s="8">
        <f t="shared" ca="1" si="4"/>
        <v>29</v>
      </c>
      <c r="E65" s="9"/>
    </row>
    <row r="66" spans="1:5" ht="15.75" x14ac:dyDescent="0.25">
      <c r="A66" s="5">
        <v>33686</v>
      </c>
      <c r="B66" s="6">
        <f t="shared" ca="1" si="2"/>
        <v>10633</v>
      </c>
      <c r="C66" s="7">
        <f t="shared" ca="1" si="3"/>
        <v>349</v>
      </c>
      <c r="D66" s="8">
        <f t="shared" ca="1" si="4"/>
        <v>29</v>
      </c>
      <c r="E66" s="9"/>
    </row>
    <row r="67" spans="1:5" ht="15.75" x14ac:dyDescent="0.25">
      <c r="A67" s="5">
        <v>33776</v>
      </c>
      <c r="B67" s="6">
        <f t="shared" ca="1" si="2"/>
        <v>10543</v>
      </c>
      <c r="C67" s="7">
        <f t="shared" ca="1" si="3"/>
        <v>346</v>
      </c>
      <c r="D67" s="8">
        <f t="shared" ca="1" si="4"/>
        <v>28</v>
      </c>
      <c r="E67" s="9"/>
    </row>
    <row r="68" spans="1:5" ht="15.75" x14ac:dyDescent="0.25">
      <c r="A68" s="5">
        <v>33887</v>
      </c>
      <c r="B68" s="6">
        <f t="shared" ca="1" si="2"/>
        <v>10432</v>
      </c>
      <c r="C68" s="7">
        <f t="shared" ca="1" si="3"/>
        <v>342</v>
      </c>
      <c r="D68" s="8">
        <f t="shared" ca="1" si="4"/>
        <v>28</v>
      </c>
      <c r="E68" s="9"/>
    </row>
    <row r="69" spans="1:5" ht="15.75" x14ac:dyDescent="0.25">
      <c r="A69" s="5">
        <v>33897</v>
      </c>
      <c r="B69" s="6">
        <f t="shared" ca="1" si="2"/>
        <v>10422</v>
      </c>
      <c r="C69" s="7">
        <f t="shared" ca="1" si="3"/>
        <v>342</v>
      </c>
      <c r="D69" s="8">
        <f t="shared" ca="1" si="4"/>
        <v>28</v>
      </c>
      <c r="E69" s="9"/>
    </row>
    <row r="70" spans="1:5" ht="15.75" x14ac:dyDescent="0.25">
      <c r="A70" s="5">
        <v>34357</v>
      </c>
      <c r="B70" s="6">
        <f t="shared" ca="1" si="2"/>
        <v>9962</v>
      </c>
      <c r="C70" s="7">
        <f t="shared" ca="1" si="3"/>
        <v>327</v>
      </c>
      <c r="D70" s="8">
        <f t="shared" ca="1" si="4"/>
        <v>27</v>
      </c>
      <c r="E70" s="9"/>
    </row>
    <row r="71" spans="1:5" ht="15.75" x14ac:dyDescent="0.25">
      <c r="A71" s="5">
        <v>34519</v>
      </c>
      <c r="B71" s="6">
        <f t="shared" ca="1" si="2"/>
        <v>9800</v>
      </c>
      <c r="C71" s="7">
        <f t="shared" ca="1" si="3"/>
        <v>321</v>
      </c>
      <c r="D71" s="8">
        <f t="shared" ca="1" si="4"/>
        <v>26</v>
      </c>
      <c r="E71" s="9"/>
    </row>
    <row r="72" spans="1:5" ht="15.75" x14ac:dyDescent="0.25">
      <c r="A72" s="5">
        <v>34655</v>
      </c>
      <c r="B72" s="6">
        <f t="shared" ca="1" si="2"/>
        <v>9664</v>
      </c>
      <c r="C72" s="7">
        <f t="shared" ca="1" si="3"/>
        <v>317</v>
      </c>
      <c r="D72" s="8">
        <f t="shared" ca="1" si="4"/>
        <v>26</v>
      </c>
      <c r="E72" s="9"/>
    </row>
    <row r="73" spans="1:5" ht="15.75" x14ac:dyDescent="0.25">
      <c r="A73" s="5">
        <v>35196</v>
      </c>
      <c r="B73" s="6">
        <f t="shared" ca="1" si="2"/>
        <v>9123</v>
      </c>
      <c r="C73" s="7">
        <f t="shared" ca="1" si="3"/>
        <v>299</v>
      </c>
      <c r="D73" s="8">
        <f t="shared" ca="1" si="4"/>
        <v>24</v>
      </c>
      <c r="E73" s="9"/>
    </row>
    <row r="74" spans="1:5" ht="15.75" x14ac:dyDescent="0.25">
      <c r="A74" s="5">
        <v>35698</v>
      </c>
      <c r="B74" s="6">
        <f t="shared" ca="1" si="2"/>
        <v>8621</v>
      </c>
      <c r="C74" s="7">
        <f t="shared" ca="1" si="3"/>
        <v>283</v>
      </c>
      <c r="D74" s="8">
        <f t="shared" ca="1" si="4"/>
        <v>23</v>
      </c>
      <c r="E74" s="9"/>
    </row>
    <row r="75" spans="1:5" ht="15.75" x14ac:dyDescent="0.25">
      <c r="A75" s="5">
        <v>35708</v>
      </c>
      <c r="B75" s="6">
        <f t="shared" ca="1" si="2"/>
        <v>8611</v>
      </c>
      <c r="C75" s="7">
        <f t="shared" ca="1" si="3"/>
        <v>282</v>
      </c>
      <c r="D75" s="8">
        <f t="shared" ca="1" si="4"/>
        <v>23</v>
      </c>
      <c r="E75" s="9"/>
    </row>
    <row r="76" spans="1:5" ht="15.75" x14ac:dyDescent="0.25">
      <c r="A76" s="5">
        <v>35866</v>
      </c>
      <c r="B76" s="6">
        <f t="shared" ca="1" si="2"/>
        <v>8453</v>
      </c>
      <c r="C76" s="7">
        <f t="shared" ca="1" si="3"/>
        <v>277</v>
      </c>
      <c r="D76" s="8">
        <f t="shared" ca="1" si="4"/>
        <v>23</v>
      </c>
      <c r="E76" s="9"/>
    </row>
    <row r="77" spans="1:5" ht="15.75" x14ac:dyDescent="0.25">
      <c r="A77" s="5">
        <v>35931</v>
      </c>
      <c r="B77" s="6">
        <f t="shared" ca="1" si="2"/>
        <v>8388</v>
      </c>
      <c r="C77" s="7">
        <f t="shared" ca="1" si="3"/>
        <v>275</v>
      </c>
      <c r="D77" s="8">
        <f t="shared" ca="1" si="4"/>
        <v>22</v>
      </c>
      <c r="E77" s="9"/>
    </row>
    <row r="78" spans="1:5" ht="15.75" x14ac:dyDescent="0.25">
      <c r="A78" s="5">
        <v>36038</v>
      </c>
      <c r="B78" s="6">
        <f t="shared" ca="1" si="2"/>
        <v>8281</v>
      </c>
      <c r="C78" s="7">
        <f t="shared" ca="1" si="3"/>
        <v>272</v>
      </c>
      <c r="D78" s="8">
        <f t="shared" ca="1" si="4"/>
        <v>22</v>
      </c>
      <c r="E78" s="9"/>
    </row>
    <row r="79" spans="1:5" ht="15.75" x14ac:dyDescent="0.25">
      <c r="A79" s="5">
        <v>36475</v>
      </c>
      <c r="B79" s="6">
        <f t="shared" ca="1" si="2"/>
        <v>7844</v>
      </c>
      <c r="C79" s="7">
        <f t="shared" ca="1" si="3"/>
        <v>257</v>
      </c>
      <c r="D79" s="8">
        <f t="shared" ca="1" si="4"/>
        <v>21</v>
      </c>
      <c r="E79" s="9"/>
    </row>
    <row r="80" spans="1:5" ht="15.75" x14ac:dyDescent="0.25">
      <c r="A80" s="5">
        <v>36650</v>
      </c>
      <c r="B80" s="6">
        <f t="shared" ca="1" si="2"/>
        <v>7669</v>
      </c>
      <c r="C80" s="7">
        <f t="shared" ca="1" si="3"/>
        <v>251</v>
      </c>
      <c r="D80" s="8">
        <f t="shared" ca="1" si="4"/>
        <v>20</v>
      </c>
      <c r="E80" s="9"/>
    </row>
    <row r="81" spans="1:5" ht="15.75" x14ac:dyDescent="0.25">
      <c r="A81" s="5">
        <v>38775</v>
      </c>
      <c r="B81" s="6">
        <f t="shared" ca="1" si="2"/>
        <v>5544</v>
      </c>
      <c r="C81" s="7">
        <f t="shared" ca="1" si="3"/>
        <v>182</v>
      </c>
      <c r="D81" s="8">
        <f t="shared" ca="1" si="4"/>
        <v>15</v>
      </c>
      <c r="E81" s="9"/>
    </row>
    <row r="82" spans="1:5" ht="15.75" x14ac:dyDescent="0.25">
      <c r="A82" s="5">
        <v>38964</v>
      </c>
      <c r="B82" s="6">
        <f t="shared" ca="1" si="2"/>
        <v>5355</v>
      </c>
      <c r="C82" s="7">
        <f t="shared" ca="1" si="3"/>
        <v>175</v>
      </c>
      <c r="D82" s="8">
        <f t="shared" ca="1" si="4"/>
        <v>14</v>
      </c>
      <c r="E82" s="9"/>
    </row>
    <row r="83" spans="1:5" ht="15.75" x14ac:dyDescent="0.25">
      <c r="A83" s="10">
        <v>38982</v>
      </c>
      <c r="B83" s="6">
        <f t="shared" ca="1" si="2"/>
        <v>5337</v>
      </c>
      <c r="C83" s="7">
        <f t="shared" ca="1" si="3"/>
        <v>175</v>
      </c>
      <c r="D83" s="8">
        <f t="shared" ca="1" si="4"/>
        <v>14</v>
      </c>
      <c r="E83" s="9"/>
    </row>
    <row r="84" spans="1:5" ht="15.75" x14ac:dyDescent="0.25">
      <c r="A84" s="5">
        <v>39191</v>
      </c>
      <c r="B84" s="6">
        <f t="shared" ca="1" si="2"/>
        <v>5128</v>
      </c>
      <c r="C84" s="7">
        <f t="shared" ca="1" si="3"/>
        <v>168</v>
      </c>
      <c r="D84" s="8">
        <f t="shared" ca="1" si="4"/>
        <v>14</v>
      </c>
      <c r="E84" s="9"/>
    </row>
    <row r="85" spans="1:5" ht="15.75" x14ac:dyDescent="0.25">
      <c r="A85" s="5">
        <v>39265</v>
      </c>
      <c r="B85" s="6">
        <f t="shared" ca="1" si="2"/>
        <v>5054</v>
      </c>
      <c r="C85" s="7">
        <f t="shared" ca="1" si="3"/>
        <v>166</v>
      </c>
      <c r="D85" s="8">
        <f t="shared" ca="1" si="4"/>
        <v>13</v>
      </c>
      <c r="E85" s="9"/>
    </row>
    <row r="86" spans="1:5" ht="15.75" x14ac:dyDescent="0.25">
      <c r="A86" s="5">
        <v>39286</v>
      </c>
      <c r="B86" s="6">
        <f t="shared" ca="1" si="2"/>
        <v>5033</v>
      </c>
      <c r="C86" s="7">
        <f t="shared" ca="1" si="3"/>
        <v>165</v>
      </c>
      <c r="D86" s="8">
        <f t="shared" ca="1" si="4"/>
        <v>13</v>
      </c>
      <c r="E86" s="9"/>
    </row>
    <row r="87" spans="1:5" ht="15.75" x14ac:dyDescent="0.25">
      <c r="A87" s="5">
        <v>32162</v>
      </c>
      <c r="B87" s="6">
        <f t="shared" ref="B87:B107" ca="1" si="5">DATEDIF(A87,TODAY(),"D")</f>
        <v>12157</v>
      </c>
      <c r="C87" s="7">
        <f t="shared" ref="C87:C107" ca="1" si="6">DATEDIF(A87,TODAY(),"m")</f>
        <v>399</v>
      </c>
      <c r="D87" s="8">
        <f t="shared" ref="D87:D107" ca="1" si="7">DATEDIF(A87,TODAY(),"Y")</f>
        <v>33</v>
      </c>
      <c r="E87" s="9"/>
    </row>
    <row r="88" spans="1:5" ht="15.75" x14ac:dyDescent="0.25">
      <c r="A88" s="5">
        <v>32856</v>
      </c>
      <c r="B88" s="6">
        <f t="shared" ca="1" si="5"/>
        <v>11463</v>
      </c>
      <c r="C88" s="7">
        <f t="shared" ca="1" si="6"/>
        <v>376</v>
      </c>
      <c r="D88" s="8">
        <f t="shared" ca="1" si="7"/>
        <v>31</v>
      </c>
      <c r="E88" s="9"/>
    </row>
    <row r="89" spans="1:5" ht="15.75" x14ac:dyDescent="0.25">
      <c r="A89" s="5">
        <v>33238</v>
      </c>
      <c r="B89" s="6">
        <f t="shared" ca="1" si="5"/>
        <v>11081</v>
      </c>
      <c r="C89" s="7">
        <f t="shared" ca="1" si="6"/>
        <v>364</v>
      </c>
      <c r="D89" s="8">
        <f t="shared" ca="1" si="7"/>
        <v>30</v>
      </c>
      <c r="E89" s="9"/>
    </row>
    <row r="90" spans="1:5" ht="15.75" x14ac:dyDescent="0.25">
      <c r="A90" s="5">
        <v>34207</v>
      </c>
      <c r="B90" s="6">
        <f t="shared" ca="1" si="5"/>
        <v>10112</v>
      </c>
      <c r="C90" s="7">
        <f t="shared" ca="1" si="6"/>
        <v>332</v>
      </c>
      <c r="D90" s="8">
        <f t="shared" ca="1" si="7"/>
        <v>27</v>
      </c>
      <c r="E90" s="9"/>
    </row>
    <row r="91" spans="1:5" ht="15.75" x14ac:dyDescent="0.25">
      <c r="A91" s="5">
        <v>34532</v>
      </c>
      <c r="B91" s="6">
        <f t="shared" ca="1" si="5"/>
        <v>9787</v>
      </c>
      <c r="C91" s="7">
        <f t="shared" ca="1" si="6"/>
        <v>321</v>
      </c>
      <c r="D91" s="8">
        <f t="shared" ca="1" si="7"/>
        <v>26</v>
      </c>
      <c r="E91" s="9"/>
    </row>
    <row r="92" spans="1:5" ht="15.75" x14ac:dyDescent="0.25">
      <c r="A92" s="5">
        <v>35586</v>
      </c>
      <c r="B92" s="6">
        <f t="shared" ca="1" si="5"/>
        <v>8733</v>
      </c>
      <c r="C92" s="7">
        <f t="shared" ca="1" si="6"/>
        <v>286</v>
      </c>
      <c r="D92" s="8">
        <f t="shared" ca="1" si="7"/>
        <v>23</v>
      </c>
      <c r="E92" s="9"/>
    </row>
    <row r="93" spans="1:5" ht="15.75" x14ac:dyDescent="0.25">
      <c r="A93" s="5">
        <v>38492</v>
      </c>
      <c r="B93" s="6">
        <f t="shared" ca="1" si="5"/>
        <v>5827</v>
      </c>
      <c r="C93" s="7">
        <f t="shared" ca="1" si="6"/>
        <v>191</v>
      </c>
      <c r="D93" s="8">
        <f t="shared" ca="1" si="7"/>
        <v>15</v>
      </c>
      <c r="E93" s="9"/>
    </row>
    <row r="94" spans="1:5" ht="15.75" x14ac:dyDescent="0.25">
      <c r="A94" s="5">
        <v>32310</v>
      </c>
      <c r="B94" s="6">
        <f t="shared" ca="1" si="5"/>
        <v>12009</v>
      </c>
      <c r="C94" s="7">
        <f t="shared" ca="1" si="6"/>
        <v>394</v>
      </c>
      <c r="D94" s="8">
        <f t="shared" ca="1" si="7"/>
        <v>32</v>
      </c>
      <c r="E94" s="9"/>
    </row>
    <row r="95" spans="1:5" ht="15.75" x14ac:dyDescent="0.25">
      <c r="A95" s="5">
        <v>34749</v>
      </c>
      <c r="B95" s="6">
        <f t="shared" ca="1" si="5"/>
        <v>9570</v>
      </c>
      <c r="C95" s="7">
        <f t="shared" ca="1" si="6"/>
        <v>314</v>
      </c>
      <c r="D95" s="8">
        <f t="shared" ca="1" si="7"/>
        <v>26</v>
      </c>
      <c r="E95" s="9"/>
    </row>
    <row r="96" spans="1:5" ht="15.75" x14ac:dyDescent="0.25">
      <c r="A96" s="5">
        <v>35177</v>
      </c>
      <c r="B96" s="6">
        <f t="shared" ca="1" si="5"/>
        <v>9142</v>
      </c>
      <c r="C96" s="7">
        <f t="shared" ca="1" si="6"/>
        <v>300</v>
      </c>
      <c r="D96" s="8">
        <f t="shared" ca="1" si="7"/>
        <v>25</v>
      </c>
      <c r="E96" s="9"/>
    </row>
    <row r="97" spans="1:5" ht="15.75" x14ac:dyDescent="0.25">
      <c r="A97" s="5">
        <v>35292</v>
      </c>
      <c r="B97" s="6">
        <f t="shared" ca="1" si="5"/>
        <v>9027</v>
      </c>
      <c r="C97" s="7">
        <f t="shared" ca="1" si="6"/>
        <v>296</v>
      </c>
      <c r="D97" s="8">
        <f t="shared" ca="1" si="7"/>
        <v>24</v>
      </c>
      <c r="E97" s="9"/>
    </row>
    <row r="98" spans="1:5" ht="15.75" x14ac:dyDescent="0.25">
      <c r="A98" s="5">
        <v>31918</v>
      </c>
      <c r="B98" s="6">
        <f t="shared" ca="1" si="5"/>
        <v>12401</v>
      </c>
      <c r="C98" s="7">
        <f t="shared" ca="1" si="6"/>
        <v>407</v>
      </c>
      <c r="D98" s="8">
        <f t="shared" ca="1" si="7"/>
        <v>33</v>
      </c>
      <c r="E98" s="9"/>
    </row>
    <row r="99" spans="1:5" ht="15.75" x14ac:dyDescent="0.25">
      <c r="A99" s="5">
        <v>32368</v>
      </c>
      <c r="B99" s="6">
        <f t="shared" ca="1" si="5"/>
        <v>11951</v>
      </c>
      <c r="C99" s="7">
        <f t="shared" ca="1" si="6"/>
        <v>392</v>
      </c>
      <c r="D99" s="8">
        <f t="shared" ca="1" si="7"/>
        <v>32</v>
      </c>
      <c r="E99" s="9"/>
    </row>
    <row r="100" spans="1:5" ht="15.75" x14ac:dyDescent="0.25">
      <c r="A100" s="5">
        <v>32671</v>
      </c>
      <c r="B100" s="6">
        <f t="shared" ca="1" si="5"/>
        <v>11648</v>
      </c>
      <c r="C100" s="7">
        <f t="shared" ca="1" si="6"/>
        <v>382</v>
      </c>
      <c r="D100" s="8">
        <f t="shared" ca="1" si="7"/>
        <v>31</v>
      </c>
      <c r="E100" s="9"/>
    </row>
    <row r="101" spans="1:5" ht="15.75" x14ac:dyDescent="0.25">
      <c r="A101" s="5">
        <v>33341</v>
      </c>
      <c r="B101" s="6">
        <f t="shared" ca="1" si="5"/>
        <v>10978</v>
      </c>
      <c r="C101" s="7">
        <f t="shared" ca="1" si="6"/>
        <v>360</v>
      </c>
      <c r="D101" s="8">
        <f t="shared" ca="1" si="7"/>
        <v>30</v>
      </c>
      <c r="E101" s="9"/>
    </row>
    <row r="102" spans="1:5" ht="15.75" x14ac:dyDescent="0.25">
      <c r="A102" s="5">
        <v>33809</v>
      </c>
      <c r="B102" s="6">
        <f t="shared" ca="1" si="5"/>
        <v>10510</v>
      </c>
      <c r="C102" s="7">
        <f t="shared" ca="1" si="6"/>
        <v>345</v>
      </c>
      <c r="D102" s="8">
        <f t="shared" ca="1" si="7"/>
        <v>28</v>
      </c>
      <c r="E102" s="9"/>
    </row>
    <row r="103" spans="1:5" ht="15.75" x14ac:dyDescent="0.25">
      <c r="A103" s="5">
        <v>33850</v>
      </c>
      <c r="B103" s="6">
        <f t="shared" ca="1" si="5"/>
        <v>10469</v>
      </c>
      <c r="C103" s="7">
        <f t="shared" ca="1" si="6"/>
        <v>344</v>
      </c>
      <c r="D103" s="8">
        <f t="shared" ca="1" si="7"/>
        <v>28</v>
      </c>
      <c r="E103" s="9"/>
    </row>
    <row r="104" spans="1:5" ht="15.75" x14ac:dyDescent="0.25">
      <c r="A104" s="5">
        <v>33945</v>
      </c>
      <c r="B104" s="6">
        <f t="shared" ca="1" si="5"/>
        <v>10374</v>
      </c>
      <c r="C104" s="7">
        <f t="shared" ca="1" si="6"/>
        <v>340</v>
      </c>
      <c r="D104" s="8">
        <f t="shared" ca="1" si="7"/>
        <v>28</v>
      </c>
      <c r="E104" s="9"/>
    </row>
    <row r="105" spans="1:5" ht="15.75" x14ac:dyDescent="0.25">
      <c r="A105" s="5">
        <v>34195</v>
      </c>
      <c r="B105" s="6">
        <f t="shared" ca="1" si="5"/>
        <v>10124</v>
      </c>
      <c r="C105" s="7">
        <f t="shared" ca="1" si="6"/>
        <v>332</v>
      </c>
      <c r="D105" s="8">
        <f t="shared" ca="1" si="7"/>
        <v>27</v>
      </c>
      <c r="E105" s="9"/>
    </row>
    <row r="106" spans="1:5" ht="15.75" x14ac:dyDescent="0.25">
      <c r="A106" s="5">
        <v>34259</v>
      </c>
      <c r="B106" s="6">
        <f t="shared" ca="1" si="5"/>
        <v>10060</v>
      </c>
      <c r="C106" s="7">
        <f t="shared" ca="1" si="6"/>
        <v>330</v>
      </c>
      <c r="D106" s="8">
        <f t="shared" ca="1" si="7"/>
        <v>27</v>
      </c>
      <c r="E106" s="9"/>
    </row>
    <row r="107" spans="1:5" ht="15.75" x14ac:dyDescent="0.25">
      <c r="A107" s="5">
        <v>34538</v>
      </c>
      <c r="B107" s="6">
        <f t="shared" ca="1" si="5"/>
        <v>9781</v>
      </c>
      <c r="C107" s="7">
        <f t="shared" ca="1" si="6"/>
        <v>321</v>
      </c>
      <c r="D107" s="8">
        <f t="shared" ca="1" si="7"/>
        <v>26</v>
      </c>
      <c r="E107" s="9"/>
    </row>
    <row r="111" spans="1:5" ht="75" x14ac:dyDescent="0.25">
      <c r="A111" s="33" t="s">
        <v>34</v>
      </c>
    </row>
    <row r="113" spans="1:6" x14ac:dyDescent="0.25">
      <c r="A113" s="11" t="s">
        <v>7</v>
      </c>
      <c r="B113" s="12" t="s">
        <v>12</v>
      </c>
      <c r="C113" s="13" t="s">
        <v>18</v>
      </c>
      <c r="D113" s="14" t="s">
        <v>13</v>
      </c>
      <c r="E113" s="28"/>
      <c r="F113" s="28"/>
    </row>
    <row r="114" spans="1:6" x14ac:dyDescent="0.25">
      <c r="A114" s="15">
        <v>71204</v>
      </c>
      <c r="B114" s="16">
        <v>5</v>
      </c>
      <c r="C114" s="17">
        <v>7.4999999999999997E-2</v>
      </c>
      <c r="D114" s="18">
        <f>IF(B114&lt;=2,A114-A114*C114,A114+A114*C114)</f>
        <v>76544.3</v>
      </c>
      <c r="E114" s="28"/>
      <c r="F114" s="28"/>
    </row>
    <row r="115" spans="1:6" x14ac:dyDescent="0.25">
      <c r="A115" s="15">
        <v>39914</v>
      </c>
      <c r="B115" s="16">
        <v>5</v>
      </c>
      <c r="C115" s="17">
        <v>7.4999999999999997E-2</v>
      </c>
      <c r="D115" s="18">
        <f t="shared" ref="D115:D167" si="8">IF(B115&lt;=2,A115-A115*C115,A115+A115*C115)</f>
        <v>42907.55</v>
      </c>
      <c r="E115" s="28"/>
      <c r="F115" s="28"/>
    </row>
    <row r="116" spans="1:6" x14ac:dyDescent="0.25">
      <c r="A116" s="15">
        <v>74321</v>
      </c>
      <c r="B116" s="16">
        <v>3</v>
      </c>
      <c r="C116" s="17">
        <v>7.4999999999999997E-2</v>
      </c>
      <c r="D116" s="18">
        <f t="shared" si="8"/>
        <v>79895.074999999997</v>
      </c>
      <c r="E116" s="28"/>
      <c r="F116" s="28"/>
    </row>
    <row r="117" spans="1:6" x14ac:dyDescent="0.25">
      <c r="A117" s="15">
        <v>61227</v>
      </c>
      <c r="B117" s="16">
        <v>3</v>
      </c>
      <c r="C117" s="17">
        <v>7.4999999999999997E-2</v>
      </c>
      <c r="D117" s="18">
        <f t="shared" si="8"/>
        <v>65819.024999999994</v>
      </c>
      <c r="E117" s="28"/>
      <c r="F117" s="28"/>
    </row>
    <row r="118" spans="1:6" x14ac:dyDescent="0.25">
      <c r="A118" s="15">
        <v>42993</v>
      </c>
      <c r="B118" s="16">
        <v>4</v>
      </c>
      <c r="C118" s="17">
        <v>7.4999999999999997E-2</v>
      </c>
      <c r="D118" s="18">
        <f t="shared" si="8"/>
        <v>46217.474999999999</v>
      </c>
      <c r="E118" s="28"/>
      <c r="F118" s="28"/>
    </row>
    <row r="119" spans="1:6" x14ac:dyDescent="0.25">
      <c r="A119" s="15">
        <v>45317</v>
      </c>
      <c r="B119" s="16">
        <v>2</v>
      </c>
      <c r="C119" s="17">
        <v>7.4999999999999997E-2</v>
      </c>
      <c r="D119" s="18">
        <f t="shared" si="8"/>
        <v>41918.224999999999</v>
      </c>
      <c r="E119" s="28"/>
      <c r="F119" s="28"/>
    </row>
    <row r="120" spans="1:6" x14ac:dyDescent="0.25">
      <c r="A120" s="15">
        <v>30852</v>
      </c>
      <c r="B120" s="16">
        <v>5</v>
      </c>
      <c r="C120" s="17">
        <v>7.4999999999999997E-2</v>
      </c>
      <c r="D120" s="18">
        <f t="shared" si="8"/>
        <v>33165.9</v>
      </c>
      <c r="E120" s="28"/>
      <c r="F120" s="28"/>
    </row>
    <row r="121" spans="1:6" x14ac:dyDescent="0.25">
      <c r="A121" s="15">
        <v>33957</v>
      </c>
      <c r="B121" s="16">
        <v>1</v>
      </c>
      <c r="C121" s="17">
        <v>7.4999999999999997E-2</v>
      </c>
      <c r="D121" s="18">
        <f t="shared" si="8"/>
        <v>31410.224999999999</v>
      </c>
      <c r="E121" s="28"/>
      <c r="F121" s="28"/>
    </row>
    <row r="122" spans="1:6" x14ac:dyDescent="0.25">
      <c r="A122" s="15">
        <v>57295</v>
      </c>
      <c r="B122" s="16">
        <v>5</v>
      </c>
      <c r="C122" s="17">
        <v>7.4999999999999997E-2</v>
      </c>
      <c r="D122" s="18">
        <f t="shared" si="8"/>
        <v>61592.125</v>
      </c>
      <c r="E122" s="28"/>
      <c r="F122" s="28"/>
    </row>
    <row r="123" spans="1:6" x14ac:dyDescent="0.25">
      <c r="A123" s="15">
        <v>58132</v>
      </c>
      <c r="B123" s="16">
        <v>2</v>
      </c>
      <c r="C123" s="17">
        <v>7.4999999999999997E-2</v>
      </c>
      <c r="D123" s="18">
        <f t="shared" si="8"/>
        <v>53772.1</v>
      </c>
      <c r="E123" s="28"/>
      <c r="F123" s="28"/>
    </row>
    <row r="124" spans="1:6" x14ac:dyDescent="0.25">
      <c r="A124" s="15">
        <v>33923</v>
      </c>
      <c r="B124" s="16">
        <v>3</v>
      </c>
      <c r="C124" s="17">
        <v>7.4999999999999997E-2</v>
      </c>
      <c r="D124" s="18">
        <f t="shared" si="8"/>
        <v>36467.224999999999</v>
      </c>
      <c r="E124" s="28"/>
      <c r="F124" s="28"/>
    </row>
    <row r="125" spans="1:6" x14ac:dyDescent="0.25">
      <c r="A125" s="15">
        <v>64428</v>
      </c>
      <c r="B125" s="16">
        <v>3</v>
      </c>
      <c r="C125" s="17">
        <v>7.4999999999999997E-2</v>
      </c>
      <c r="D125" s="18">
        <f t="shared" si="8"/>
        <v>69260.100000000006</v>
      </c>
      <c r="E125" s="28"/>
      <c r="F125" s="28"/>
    </row>
    <row r="126" spans="1:6" x14ac:dyDescent="0.25">
      <c r="A126" s="15">
        <v>68077</v>
      </c>
      <c r="B126" s="16">
        <v>2</v>
      </c>
      <c r="C126" s="17">
        <v>7.4999999999999997E-2</v>
      </c>
      <c r="D126" s="18">
        <f t="shared" si="8"/>
        <v>62971.224999999999</v>
      </c>
      <c r="E126" s="28"/>
      <c r="F126" s="28"/>
    </row>
    <row r="127" spans="1:6" x14ac:dyDescent="0.25">
      <c r="A127" s="15">
        <v>43326</v>
      </c>
      <c r="B127" s="16">
        <v>5</v>
      </c>
      <c r="C127" s="17">
        <v>7.4999999999999997E-2</v>
      </c>
      <c r="D127" s="18">
        <f t="shared" si="8"/>
        <v>46575.45</v>
      </c>
      <c r="E127" s="28"/>
      <c r="F127" s="28"/>
    </row>
    <row r="128" spans="1:6" x14ac:dyDescent="0.25">
      <c r="A128" s="15">
        <v>38940</v>
      </c>
      <c r="B128" s="16">
        <v>5</v>
      </c>
      <c r="C128" s="17">
        <v>7.4999999999999997E-2</v>
      </c>
      <c r="D128" s="18">
        <f t="shared" si="8"/>
        <v>41860.5</v>
      </c>
      <c r="E128" s="28"/>
      <c r="F128" s="28"/>
    </row>
    <row r="129" spans="1:6" x14ac:dyDescent="0.25">
      <c r="A129" s="15">
        <v>55725</v>
      </c>
      <c r="B129" s="16">
        <v>5</v>
      </c>
      <c r="C129" s="17">
        <v>7.4999999999999997E-2</v>
      </c>
      <c r="D129" s="18">
        <f t="shared" si="8"/>
        <v>59904.375</v>
      </c>
      <c r="E129" s="28"/>
      <c r="F129" s="28"/>
    </row>
    <row r="130" spans="1:6" x14ac:dyDescent="0.25">
      <c r="A130" s="15">
        <v>64849</v>
      </c>
      <c r="B130" s="16">
        <v>3</v>
      </c>
      <c r="C130" s="17">
        <v>7.4999999999999997E-2</v>
      </c>
      <c r="D130" s="18">
        <f t="shared" si="8"/>
        <v>69712.675000000003</v>
      </c>
      <c r="E130" s="28"/>
      <c r="F130" s="28"/>
    </row>
    <row r="131" spans="1:6" x14ac:dyDescent="0.25">
      <c r="A131" s="15">
        <v>72125</v>
      </c>
      <c r="B131" s="16">
        <v>3</v>
      </c>
      <c r="C131" s="17">
        <v>7.4999999999999997E-2</v>
      </c>
      <c r="D131" s="18">
        <f t="shared" si="8"/>
        <v>77534.375</v>
      </c>
      <c r="E131" s="28"/>
      <c r="F131" s="28"/>
    </row>
    <row r="132" spans="1:6" x14ac:dyDescent="0.25">
      <c r="A132" s="15">
        <v>44689</v>
      </c>
      <c r="B132" s="16">
        <v>1</v>
      </c>
      <c r="C132" s="17">
        <v>7.4999999999999997E-2</v>
      </c>
      <c r="D132" s="18">
        <f t="shared" si="8"/>
        <v>41337.324999999997</v>
      </c>
      <c r="E132" s="28"/>
      <c r="F132" s="28"/>
    </row>
    <row r="133" spans="1:6" x14ac:dyDescent="0.25">
      <c r="A133" s="15">
        <v>37839</v>
      </c>
      <c r="B133" s="16">
        <v>3</v>
      </c>
      <c r="C133" s="17">
        <v>7.4999999999999997E-2</v>
      </c>
      <c r="D133" s="18">
        <f t="shared" si="8"/>
        <v>40676.925000000003</v>
      </c>
      <c r="E133" s="28"/>
      <c r="F133" s="28"/>
    </row>
    <row r="134" spans="1:6" x14ac:dyDescent="0.25">
      <c r="A134" s="15">
        <v>69401</v>
      </c>
      <c r="B134" s="16">
        <v>3</v>
      </c>
      <c r="C134" s="17">
        <v>7.4999999999999997E-2</v>
      </c>
      <c r="D134" s="18">
        <f t="shared" si="8"/>
        <v>74606.074999999997</v>
      </c>
      <c r="E134" s="28"/>
      <c r="F134" s="28"/>
    </row>
    <row r="135" spans="1:6" x14ac:dyDescent="0.25">
      <c r="A135" s="15">
        <v>60130</v>
      </c>
      <c r="B135" s="16">
        <v>4</v>
      </c>
      <c r="C135" s="17">
        <v>7.4999999999999997E-2</v>
      </c>
      <c r="D135" s="18">
        <f t="shared" si="8"/>
        <v>64639.75</v>
      </c>
      <c r="E135" s="28"/>
      <c r="F135" s="28"/>
    </row>
    <row r="136" spans="1:6" x14ac:dyDescent="0.25">
      <c r="A136" s="15">
        <v>51573</v>
      </c>
      <c r="B136" s="16">
        <v>1</v>
      </c>
      <c r="C136" s="17">
        <v>7.4999999999999997E-2</v>
      </c>
      <c r="D136" s="18">
        <f t="shared" si="8"/>
        <v>47705.025000000001</v>
      </c>
      <c r="E136" s="28"/>
      <c r="F136" s="28"/>
    </row>
    <row r="137" spans="1:6" x14ac:dyDescent="0.25">
      <c r="A137" s="15">
        <v>52060</v>
      </c>
      <c r="B137" s="16">
        <v>2</v>
      </c>
      <c r="C137" s="17">
        <v>7.4999999999999997E-2</v>
      </c>
      <c r="D137" s="18">
        <f t="shared" si="8"/>
        <v>48155.5</v>
      </c>
      <c r="E137" s="28"/>
      <c r="F137" s="28"/>
    </row>
    <row r="138" spans="1:6" x14ac:dyDescent="0.25">
      <c r="A138" s="15">
        <v>28986</v>
      </c>
      <c r="B138" s="16">
        <v>4</v>
      </c>
      <c r="C138" s="17">
        <v>7.4999999999999997E-2</v>
      </c>
      <c r="D138" s="18">
        <f t="shared" si="8"/>
        <v>31159.95</v>
      </c>
      <c r="E138" s="28"/>
      <c r="F138" s="28"/>
    </row>
    <row r="139" spans="1:6" x14ac:dyDescent="0.25">
      <c r="A139" s="15">
        <v>66561</v>
      </c>
      <c r="B139" s="16">
        <v>5</v>
      </c>
      <c r="C139" s="17">
        <v>7.4999999999999997E-2</v>
      </c>
      <c r="D139" s="18">
        <f t="shared" si="8"/>
        <v>71553.074999999997</v>
      </c>
      <c r="E139" s="28"/>
      <c r="F139" s="28"/>
    </row>
    <row r="140" spans="1:6" x14ac:dyDescent="0.25">
      <c r="A140" s="15">
        <v>25792</v>
      </c>
      <c r="B140" s="16">
        <v>2</v>
      </c>
      <c r="C140" s="17">
        <v>7.4999999999999997E-2</v>
      </c>
      <c r="D140" s="18">
        <f t="shared" si="8"/>
        <v>23857.599999999999</v>
      </c>
      <c r="E140" s="28"/>
      <c r="F140" s="28"/>
    </row>
    <row r="141" spans="1:6" x14ac:dyDescent="0.25">
      <c r="A141" s="15">
        <v>54069</v>
      </c>
      <c r="B141" s="16">
        <v>5</v>
      </c>
      <c r="C141" s="17">
        <v>7.4999999999999997E-2</v>
      </c>
      <c r="D141" s="18">
        <f t="shared" si="8"/>
        <v>58124.175000000003</v>
      </c>
      <c r="E141" s="28"/>
      <c r="F141" s="28"/>
    </row>
    <row r="142" spans="1:6" x14ac:dyDescent="0.25">
      <c r="A142" s="15">
        <v>32187</v>
      </c>
      <c r="B142" s="16">
        <v>2</v>
      </c>
      <c r="C142" s="17">
        <v>7.4999999999999997E-2</v>
      </c>
      <c r="D142" s="18">
        <f t="shared" si="8"/>
        <v>29772.974999999999</v>
      </c>
      <c r="E142" s="28"/>
      <c r="F142" s="28"/>
    </row>
    <row r="143" spans="1:6" x14ac:dyDescent="0.25">
      <c r="A143" s="15">
        <v>60484</v>
      </c>
      <c r="B143" s="16">
        <v>2</v>
      </c>
      <c r="C143" s="17">
        <v>7.4999999999999997E-2</v>
      </c>
      <c r="D143" s="18">
        <f t="shared" si="8"/>
        <v>55947.7</v>
      </c>
      <c r="E143" s="28"/>
      <c r="F143" s="28"/>
    </row>
    <row r="144" spans="1:6" x14ac:dyDescent="0.25">
      <c r="A144" s="15">
        <v>51931</v>
      </c>
      <c r="B144" s="16">
        <v>3</v>
      </c>
      <c r="C144" s="17">
        <v>7.4999999999999997E-2</v>
      </c>
      <c r="D144" s="18">
        <f t="shared" si="8"/>
        <v>55825.824999999997</v>
      </c>
      <c r="E144" s="28"/>
      <c r="F144" s="28"/>
    </row>
    <row r="145" spans="1:6" x14ac:dyDescent="0.25">
      <c r="A145" s="15">
        <v>62899</v>
      </c>
      <c r="B145" s="16">
        <v>4</v>
      </c>
      <c r="C145" s="17">
        <v>7.4999999999999997E-2</v>
      </c>
      <c r="D145" s="18">
        <f t="shared" si="8"/>
        <v>67616.425000000003</v>
      </c>
      <c r="E145" s="28"/>
      <c r="F145" s="28"/>
    </row>
    <row r="146" spans="1:6" x14ac:dyDescent="0.25">
      <c r="A146" s="15">
        <v>52180</v>
      </c>
      <c r="B146" s="16">
        <v>1</v>
      </c>
      <c r="C146" s="17">
        <v>7.4999999999999997E-2</v>
      </c>
      <c r="D146" s="18">
        <f t="shared" si="8"/>
        <v>48266.5</v>
      </c>
      <c r="E146" s="28"/>
      <c r="F146" s="28"/>
    </row>
    <row r="147" spans="1:6" x14ac:dyDescent="0.25">
      <c r="A147" s="15">
        <v>29689</v>
      </c>
      <c r="B147" s="16">
        <v>2</v>
      </c>
      <c r="C147" s="17">
        <v>7.4999999999999997E-2</v>
      </c>
      <c r="D147" s="18">
        <f t="shared" si="8"/>
        <v>27462.325000000001</v>
      </c>
      <c r="E147" s="28"/>
      <c r="F147" s="28"/>
    </row>
    <row r="148" spans="1:6" x14ac:dyDescent="0.25">
      <c r="A148" s="15">
        <v>34074</v>
      </c>
      <c r="B148" s="16">
        <v>5</v>
      </c>
      <c r="C148" s="17">
        <v>7.4999999999999997E-2</v>
      </c>
      <c r="D148" s="18">
        <f t="shared" si="8"/>
        <v>36629.550000000003</v>
      </c>
      <c r="E148" s="28"/>
      <c r="F148" s="28"/>
    </row>
    <row r="149" spans="1:6" x14ac:dyDescent="0.25">
      <c r="A149" s="15">
        <v>57033</v>
      </c>
      <c r="B149" s="16">
        <v>4</v>
      </c>
      <c r="C149" s="17">
        <v>7.4999999999999997E-2</v>
      </c>
      <c r="D149" s="18">
        <f t="shared" si="8"/>
        <v>61310.474999999999</v>
      </c>
      <c r="E149" s="28"/>
      <c r="F149" s="28"/>
    </row>
    <row r="150" spans="1:6" x14ac:dyDescent="0.25">
      <c r="A150" s="15">
        <v>44694</v>
      </c>
      <c r="B150" s="16">
        <v>5</v>
      </c>
      <c r="C150" s="17">
        <v>7.4999999999999997E-2</v>
      </c>
      <c r="D150" s="18">
        <f t="shared" si="8"/>
        <v>48046.05</v>
      </c>
      <c r="E150" s="28"/>
      <c r="F150" s="28"/>
    </row>
    <row r="151" spans="1:6" x14ac:dyDescent="0.25">
      <c r="A151" s="15">
        <v>50709</v>
      </c>
      <c r="B151" s="16">
        <v>4</v>
      </c>
      <c r="C151" s="17">
        <v>7.4999999999999997E-2</v>
      </c>
      <c r="D151" s="18">
        <f t="shared" si="8"/>
        <v>54512.175000000003</v>
      </c>
      <c r="E151" s="28"/>
      <c r="F151" s="28"/>
    </row>
    <row r="152" spans="1:6" x14ac:dyDescent="0.25">
      <c r="A152" s="15">
        <v>37109</v>
      </c>
      <c r="B152" s="16">
        <v>3</v>
      </c>
      <c r="C152" s="17">
        <v>7.4999999999999997E-2</v>
      </c>
      <c r="D152" s="18">
        <f t="shared" si="8"/>
        <v>39892.175000000003</v>
      </c>
      <c r="E152" s="28"/>
      <c r="F152" s="28"/>
    </row>
    <row r="153" spans="1:6" x14ac:dyDescent="0.25">
      <c r="A153" s="15">
        <v>35754</v>
      </c>
      <c r="B153" s="16">
        <v>5</v>
      </c>
      <c r="C153" s="17">
        <v>7.4999999999999997E-2</v>
      </c>
      <c r="D153" s="18">
        <f t="shared" si="8"/>
        <v>38435.550000000003</v>
      </c>
      <c r="E153" s="28"/>
      <c r="F153" s="28"/>
    </row>
    <row r="154" spans="1:6" x14ac:dyDescent="0.25">
      <c r="A154" s="15">
        <v>40374</v>
      </c>
      <c r="B154" s="16">
        <v>2</v>
      </c>
      <c r="C154" s="17">
        <v>7.4999999999999997E-2</v>
      </c>
      <c r="D154" s="18">
        <f t="shared" si="8"/>
        <v>37345.949999999997</v>
      </c>
      <c r="E154" s="28"/>
      <c r="F154" s="28"/>
    </row>
    <row r="155" spans="1:6" x14ac:dyDescent="0.25">
      <c r="A155" s="15">
        <v>43903</v>
      </c>
      <c r="B155" s="16">
        <v>2</v>
      </c>
      <c r="C155" s="17">
        <v>7.4999999999999997E-2</v>
      </c>
      <c r="D155" s="18">
        <f t="shared" si="8"/>
        <v>40610.275000000001</v>
      </c>
      <c r="E155" s="28"/>
      <c r="F155" s="28"/>
    </row>
    <row r="156" spans="1:6" x14ac:dyDescent="0.25">
      <c r="A156" s="15">
        <v>46722</v>
      </c>
      <c r="B156" s="16">
        <v>5</v>
      </c>
      <c r="C156" s="17">
        <v>7.4999999999999997E-2</v>
      </c>
      <c r="D156" s="18">
        <f t="shared" si="8"/>
        <v>50226.15</v>
      </c>
      <c r="E156" s="28"/>
      <c r="F156" s="28"/>
    </row>
    <row r="157" spans="1:6" x14ac:dyDescent="0.25">
      <c r="A157" s="15">
        <v>64735</v>
      </c>
      <c r="B157" s="16">
        <v>4</v>
      </c>
      <c r="C157" s="17">
        <v>7.4999999999999997E-2</v>
      </c>
      <c r="D157" s="18">
        <f t="shared" si="8"/>
        <v>69590.125</v>
      </c>
      <c r="E157" s="28"/>
      <c r="F157" s="28"/>
    </row>
    <row r="158" spans="1:6" x14ac:dyDescent="0.25">
      <c r="A158" s="15">
        <v>26139</v>
      </c>
      <c r="B158" s="16">
        <v>5</v>
      </c>
      <c r="C158" s="17">
        <v>7.4999999999999997E-2</v>
      </c>
      <c r="D158" s="18">
        <f t="shared" si="8"/>
        <v>28099.424999999999</v>
      </c>
      <c r="E158" s="28"/>
      <c r="F158" s="28"/>
    </row>
    <row r="159" spans="1:6" x14ac:dyDescent="0.25">
      <c r="A159" s="15">
        <v>38510</v>
      </c>
      <c r="B159" s="16">
        <v>4</v>
      </c>
      <c r="C159" s="17">
        <v>7.4999999999999997E-2</v>
      </c>
      <c r="D159" s="18">
        <f t="shared" si="8"/>
        <v>41398.25</v>
      </c>
      <c r="E159" s="28"/>
      <c r="F159" s="28"/>
    </row>
    <row r="160" spans="1:6" x14ac:dyDescent="0.25">
      <c r="A160" s="15">
        <v>54240</v>
      </c>
      <c r="B160" s="16">
        <v>4</v>
      </c>
      <c r="C160" s="17">
        <v>7.4999999999999997E-2</v>
      </c>
      <c r="D160" s="18">
        <f t="shared" si="8"/>
        <v>58308</v>
      </c>
      <c r="E160" s="28"/>
      <c r="F160" s="28"/>
    </row>
    <row r="161" spans="1:15" x14ac:dyDescent="0.25">
      <c r="A161" s="15">
        <v>70624</v>
      </c>
      <c r="B161" s="16">
        <v>3</v>
      </c>
      <c r="C161" s="17">
        <v>7.4999999999999997E-2</v>
      </c>
      <c r="D161" s="18">
        <f t="shared" si="8"/>
        <v>75920.800000000003</v>
      </c>
      <c r="E161" s="28"/>
      <c r="F161" s="28"/>
    </row>
    <row r="162" spans="1:15" x14ac:dyDescent="0.25">
      <c r="A162" s="15">
        <v>74702</v>
      </c>
      <c r="B162" s="16">
        <v>5</v>
      </c>
      <c r="C162" s="17">
        <v>7.4999999999999997E-2</v>
      </c>
      <c r="D162" s="18">
        <f t="shared" si="8"/>
        <v>80304.649999999994</v>
      </c>
      <c r="E162" s="28"/>
      <c r="F162" s="28"/>
    </row>
    <row r="163" spans="1:15" x14ac:dyDescent="0.25">
      <c r="A163" s="15">
        <v>40157</v>
      </c>
      <c r="B163" s="16">
        <v>3</v>
      </c>
      <c r="C163" s="17">
        <v>7.4999999999999997E-2</v>
      </c>
      <c r="D163" s="18">
        <f t="shared" si="8"/>
        <v>43168.775000000001</v>
      </c>
      <c r="E163" s="28"/>
      <c r="F163" s="28"/>
    </row>
    <row r="164" spans="1:15" x14ac:dyDescent="0.25">
      <c r="A164" s="15">
        <v>46180</v>
      </c>
      <c r="B164" s="16">
        <v>5</v>
      </c>
      <c r="C164" s="17">
        <v>7.4999999999999997E-2</v>
      </c>
      <c r="D164" s="18">
        <f t="shared" si="8"/>
        <v>49643.5</v>
      </c>
      <c r="E164" s="28"/>
      <c r="F164" s="28"/>
    </row>
    <row r="165" spans="1:15" x14ac:dyDescent="0.25">
      <c r="A165" s="15">
        <v>42798</v>
      </c>
      <c r="B165" s="16">
        <v>4</v>
      </c>
      <c r="C165" s="17">
        <v>7.4999999999999997E-2</v>
      </c>
      <c r="D165" s="18">
        <f t="shared" si="8"/>
        <v>46007.85</v>
      </c>
      <c r="E165" s="28"/>
      <c r="F165" s="28"/>
    </row>
    <row r="166" spans="1:15" x14ac:dyDescent="0.25">
      <c r="A166" s="15">
        <v>35356</v>
      </c>
      <c r="B166" s="16">
        <v>2</v>
      </c>
      <c r="C166" s="17">
        <v>7.4999999999999997E-2</v>
      </c>
      <c r="D166" s="18">
        <f t="shared" si="8"/>
        <v>32704.3</v>
      </c>
      <c r="E166" s="28"/>
      <c r="F166" s="28"/>
    </row>
    <row r="167" spans="1:15" x14ac:dyDescent="0.25">
      <c r="A167" s="15">
        <v>47327</v>
      </c>
      <c r="B167" s="16">
        <v>4</v>
      </c>
      <c r="C167" s="17">
        <v>7.4999999999999997E-2</v>
      </c>
      <c r="D167" s="18">
        <f t="shared" si="8"/>
        <v>50876.525000000001</v>
      </c>
      <c r="E167" s="28"/>
      <c r="F167" s="28"/>
    </row>
    <row r="171" spans="1:15" x14ac:dyDescent="0.25">
      <c r="A171" s="33" t="s">
        <v>52</v>
      </c>
    </row>
    <row r="173" spans="1:15" ht="18.75" x14ac:dyDescent="0.25">
      <c r="A173" s="34" t="s">
        <v>25</v>
      </c>
      <c r="B173" s="34" t="s">
        <v>6</v>
      </c>
      <c r="C173" s="34" t="s">
        <v>14</v>
      </c>
      <c r="D173" s="34" t="s">
        <v>15</v>
      </c>
      <c r="E173" s="34" t="s">
        <v>16</v>
      </c>
      <c r="F173" s="34" t="s">
        <v>12</v>
      </c>
      <c r="G173" s="20"/>
      <c r="H173" s="21"/>
      <c r="I173" s="22" t="s">
        <v>14</v>
      </c>
      <c r="J173" s="22" t="s">
        <v>17</v>
      </c>
      <c r="K173" s="22" t="s">
        <v>27</v>
      </c>
      <c r="L173" s="22" t="s">
        <v>6</v>
      </c>
      <c r="M173" s="22" t="s">
        <v>16</v>
      </c>
      <c r="N173" s="22" t="s">
        <v>15</v>
      </c>
      <c r="O173" s="22" t="s">
        <v>12</v>
      </c>
    </row>
    <row r="174" spans="1:15" ht="18.75" x14ac:dyDescent="0.25">
      <c r="A174" s="3" t="s">
        <v>35</v>
      </c>
      <c r="B174" s="3" t="s">
        <v>43</v>
      </c>
      <c r="C174" s="19" t="str">
        <f>INDEX($I$174:$I$181,MATCH(A174,$K$174:$K$181,0))</f>
        <v>Guwahati</v>
      </c>
      <c r="D174" s="23">
        <f>INDEX($M$174:$O$181,MATCH($A174,$K$174:$K$181,0),MATCH(D$173,$M$173:$O$173,0))</f>
        <v>46.010000000000005</v>
      </c>
      <c r="E174" s="23">
        <f t="shared" ref="E174:F174" si="9">INDEX($M$174:$O$181,MATCH($A174,$K$174:$K$181,0),MATCH(E$173,$M$173:$O$173,0))</f>
        <v>30</v>
      </c>
      <c r="F174" s="23">
        <f t="shared" si="9"/>
        <v>5</v>
      </c>
      <c r="G174" s="20"/>
      <c r="H174" s="21"/>
      <c r="I174" s="24" t="s">
        <v>19</v>
      </c>
      <c r="J174" s="25">
        <v>180.30000000000007</v>
      </c>
      <c r="K174" s="3" t="s">
        <v>35</v>
      </c>
      <c r="L174" s="3" t="s">
        <v>43</v>
      </c>
      <c r="M174" s="26">
        <v>30</v>
      </c>
      <c r="N174" s="25">
        <v>46.010000000000005</v>
      </c>
      <c r="O174" s="27">
        <v>5</v>
      </c>
    </row>
    <row r="175" spans="1:15" ht="18.75" x14ac:dyDescent="0.25">
      <c r="A175" s="3" t="s">
        <v>36</v>
      </c>
      <c r="B175" s="3" t="s">
        <v>44</v>
      </c>
      <c r="C175" s="19" t="str">
        <f t="shared" ref="C175:C181" si="10">INDEX($I$174:$I$181,MATCH(A175,$K$174:$K$181,0))</f>
        <v>Bihar</v>
      </c>
      <c r="D175" s="23">
        <f t="shared" ref="D175:F181" si="11">INDEX($M$174:$O$181,MATCH($A175,$K$174:$K$181,0),MATCH(D$173,$M$173:$O$173,0))</f>
        <v>59.32</v>
      </c>
      <c r="E175" s="23">
        <f t="shared" si="11"/>
        <v>44</v>
      </c>
      <c r="F175" s="23">
        <f t="shared" si="11"/>
        <v>2</v>
      </c>
      <c r="G175" s="20"/>
      <c r="H175" s="21"/>
      <c r="I175" s="24" t="s">
        <v>20</v>
      </c>
      <c r="J175" s="25">
        <v>1128.72</v>
      </c>
      <c r="K175" s="3" t="s">
        <v>36</v>
      </c>
      <c r="L175" s="3" t="s">
        <v>44</v>
      </c>
      <c r="M175" s="26">
        <v>44</v>
      </c>
      <c r="N175" s="25">
        <v>59.32</v>
      </c>
      <c r="O175" s="27">
        <v>2</v>
      </c>
    </row>
    <row r="176" spans="1:15" ht="18.75" x14ac:dyDescent="0.25">
      <c r="A176" s="3" t="s">
        <v>37</v>
      </c>
      <c r="B176" s="3" t="s">
        <v>45</v>
      </c>
      <c r="C176" s="19" t="str">
        <f t="shared" si="10"/>
        <v>Asam</v>
      </c>
      <c r="D176" s="23">
        <f t="shared" si="11"/>
        <v>64.039999999999992</v>
      </c>
      <c r="E176" s="23">
        <f t="shared" si="11"/>
        <v>31</v>
      </c>
      <c r="F176" s="23">
        <f t="shared" si="11"/>
        <v>1</v>
      </c>
      <c r="G176" s="20"/>
      <c r="H176" s="21"/>
      <c r="I176" s="24" t="s">
        <v>26</v>
      </c>
      <c r="J176" s="25">
        <v>760.24</v>
      </c>
      <c r="K176" s="3" t="s">
        <v>37</v>
      </c>
      <c r="L176" s="3" t="s">
        <v>45</v>
      </c>
      <c r="M176" s="26">
        <v>31</v>
      </c>
      <c r="N176" s="25">
        <v>64.039999999999992</v>
      </c>
      <c r="O176" s="27">
        <v>1</v>
      </c>
    </row>
    <row r="177" spans="1:15" ht="18.75" x14ac:dyDescent="0.25">
      <c r="A177" s="3" t="s">
        <v>38</v>
      </c>
      <c r="B177" s="3" t="s">
        <v>46</v>
      </c>
      <c r="C177" s="19" t="str">
        <f t="shared" si="10"/>
        <v>Chhattisgarh</v>
      </c>
      <c r="D177" s="23">
        <f t="shared" si="11"/>
        <v>43.89</v>
      </c>
      <c r="E177" s="23">
        <f t="shared" si="11"/>
        <v>35</v>
      </c>
      <c r="F177" s="23">
        <f t="shared" si="11"/>
        <v>5</v>
      </c>
      <c r="G177" s="20"/>
      <c r="H177" s="21"/>
      <c r="I177" s="24" t="s">
        <v>21</v>
      </c>
      <c r="J177" s="25">
        <v>211.14999999999998</v>
      </c>
      <c r="K177" s="3" t="s">
        <v>38</v>
      </c>
      <c r="L177" s="3" t="s">
        <v>46</v>
      </c>
      <c r="M177" s="26">
        <v>35</v>
      </c>
      <c r="N177" s="25">
        <v>43.89</v>
      </c>
      <c r="O177" s="27">
        <v>5</v>
      </c>
    </row>
    <row r="178" spans="1:15" ht="18.75" x14ac:dyDescent="0.25">
      <c r="A178" s="3" t="s">
        <v>39</v>
      </c>
      <c r="B178" s="3" t="s">
        <v>47</v>
      </c>
      <c r="C178" s="19" t="str">
        <f t="shared" si="10"/>
        <v>UP</v>
      </c>
      <c r="D178" s="23">
        <f t="shared" si="11"/>
        <v>51.010000000000005</v>
      </c>
      <c r="E178" s="23">
        <f t="shared" si="11"/>
        <v>39</v>
      </c>
      <c r="F178" s="23">
        <f t="shared" si="11"/>
        <v>4</v>
      </c>
      <c r="G178" s="20"/>
      <c r="H178" s="21"/>
      <c r="I178" s="24" t="s">
        <v>48</v>
      </c>
      <c r="J178" s="25">
        <v>564.3900000000001</v>
      </c>
      <c r="K178" s="3" t="s">
        <v>39</v>
      </c>
      <c r="L178" s="3" t="s">
        <v>47</v>
      </c>
      <c r="M178" s="26">
        <v>39</v>
      </c>
      <c r="N178" s="25">
        <v>51.010000000000005</v>
      </c>
      <c r="O178" s="27">
        <v>4</v>
      </c>
    </row>
    <row r="179" spans="1:15" ht="18.75" x14ac:dyDescent="0.25">
      <c r="A179" s="3" t="s">
        <v>40</v>
      </c>
      <c r="B179" s="3" t="s">
        <v>49</v>
      </c>
      <c r="C179" s="19" t="str">
        <f t="shared" si="10"/>
        <v>Delhi </v>
      </c>
      <c r="D179" s="23">
        <f t="shared" si="11"/>
        <v>48.91</v>
      </c>
      <c r="E179" s="23">
        <f t="shared" si="11"/>
        <v>30</v>
      </c>
      <c r="F179" s="23">
        <f t="shared" si="11"/>
        <v>4</v>
      </c>
      <c r="G179" s="20"/>
      <c r="H179" s="21"/>
      <c r="I179" s="24" t="s">
        <v>22</v>
      </c>
      <c r="J179" s="25">
        <v>721.58999999999992</v>
      </c>
      <c r="K179" s="3" t="s">
        <v>40</v>
      </c>
      <c r="L179" s="3" t="s">
        <v>49</v>
      </c>
      <c r="M179" s="26">
        <v>30</v>
      </c>
      <c r="N179" s="25">
        <v>48.91</v>
      </c>
      <c r="O179" s="27">
        <v>4</v>
      </c>
    </row>
    <row r="180" spans="1:15" ht="18.75" x14ac:dyDescent="0.25">
      <c r="A180" s="3" t="s">
        <v>41</v>
      </c>
      <c r="B180" s="3" t="s">
        <v>50</v>
      </c>
      <c r="C180" s="19" t="str">
        <f t="shared" si="10"/>
        <v>Goa</v>
      </c>
      <c r="D180" s="23">
        <f t="shared" si="11"/>
        <v>52.2</v>
      </c>
      <c r="E180" s="23">
        <f t="shared" si="11"/>
        <v>41</v>
      </c>
      <c r="F180" s="23">
        <f t="shared" si="11"/>
        <v>4</v>
      </c>
      <c r="G180" s="20"/>
      <c r="H180" s="21"/>
      <c r="I180" s="24" t="s">
        <v>23</v>
      </c>
      <c r="J180" s="25">
        <v>678.8</v>
      </c>
      <c r="K180" s="3" t="s">
        <v>41</v>
      </c>
      <c r="L180" s="3" t="s">
        <v>50</v>
      </c>
      <c r="M180" s="26">
        <v>41</v>
      </c>
      <c r="N180" s="25">
        <v>52.2</v>
      </c>
      <c r="O180" s="27">
        <v>4</v>
      </c>
    </row>
    <row r="181" spans="1:15" ht="18.75" x14ac:dyDescent="0.25">
      <c r="A181" s="3" t="s">
        <v>42</v>
      </c>
      <c r="B181" s="3" t="s">
        <v>51</v>
      </c>
      <c r="C181" s="19" t="str">
        <f t="shared" si="10"/>
        <v>Gujarat</v>
      </c>
      <c r="D181" s="23">
        <f t="shared" si="11"/>
        <v>52</v>
      </c>
      <c r="E181" s="23">
        <f t="shared" si="11"/>
        <v>37</v>
      </c>
      <c r="F181" s="23">
        <f t="shared" si="11"/>
        <v>4</v>
      </c>
      <c r="G181" s="20"/>
      <c r="H181" s="21"/>
      <c r="I181" s="24" t="s">
        <v>24</v>
      </c>
      <c r="J181" s="25">
        <v>549</v>
      </c>
      <c r="K181" s="3" t="s">
        <v>42</v>
      </c>
      <c r="L181" s="3" t="s">
        <v>51</v>
      </c>
      <c r="M181" s="26">
        <v>37</v>
      </c>
      <c r="N181" s="25">
        <v>52</v>
      </c>
      <c r="O181" s="27">
        <v>4</v>
      </c>
    </row>
    <row r="185" spans="1:15" x14ac:dyDescent="0.25">
      <c r="A185" s="33" t="s">
        <v>59</v>
      </c>
      <c r="B185" s="36"/>
      <c r="C185" s="37"/>
      <c r="D185" s="36"/>
      <c r="E185" s="36"/>
      <c r="F185" s="36"/>
      <c r="G185" s="36"/>
      <c r="H185" s="38"/>
      <c r="I185" s="39"/>
      <c r="J185" s="39"/>
    </row>
    <row r="187" spans="1:15" x14ac:dyDescent="0.25">
      <c r="A187" s="44" t="s">
        <v>53</v>
      </c>
      <c r="B187" s="44" t="s">
        <v>54</v>
      </c>
      <c r="C187" s="46" t="s">
        <v>55</v>
      </c>
      <c r="D187" s="47"/>
      <c r="H187" s="41" t="s">
        <v>58</v>
      </c>
      <c r="I187" s="40" t="s">
        <v>56</v>
      </c>
    </row>
    <row r="188" spans="1:15" x14ac:dyDescent="0.25">
      <c r="A188" s="42">
        <v>42130</v>
      </c>
      <c r="B188" s="42">
        <v>42256</v>
      </c>
      <c r="C188" s="41">
        <f>NETWORKDAYS(A188,B188,$I$189:$I$193)</f>
        <v>89</v>
      </c>
      <c r="D188" s="48"/>
      <c r="E188" s="45"/>
      <c r="H188" s="41"/>
      <c r="I188" s="43"/>
    </row>
    <row r="189" spans="1:15" ht="30" x14ac:dyDescent="0.25">
      <c r="A189" s="42">
        <v>42497</v>
      </c>
      <c r="B189" s="42">
        <v>43718</v>
      </c>
      <c r="C189" s="41">
        <f t="shared" ref="C189:C193" si="12">NETWORKDAYS(A189,B189,$I$189:$I$193)</f>
        <v>872</v>
      </c>
      <c r="D189" s="48"/>
      <c r="E189" s="45"/>
      <c r="H189" s="41" t="s">
        <v>57</v>
      </c>
      <c r="I189" s="42">
        <v>42025</v>
      </c>
    </row>
    <row r="190" spans="1:15" x14ac:dyDescent="0.25">
      <c r="A190" s="42">
        <v>42498</v>
      </c>
      <c r="B190" s="42">
        <v>43719</v>
      </c>
      <c r="C190" s="41">
        <f t="shared" si="12"/>
        <v>873</v>
      </c>
      <c r="D190" s="48"/>
      <c r="E190" s="45"/>
      <c r="I190" s="42">
        <v>42053</v>
      </c>
    </row>
    <row r="191" spans="1:15" x14ac:dyDescent="0.25">
      <c r="A191" s="42">
        <v>42133</v>
      </c>
      <c r="B191" s="42">
        <v>42989</v>
      </c>
      <c r="C191" s="41">
        <f t="shared" si="12"/>
        <v>609</v>
      </c>
      <c r="D191" s="48"/>
      <c r="E191" s="45"/>
      <c r="I191" s="42">
        <v>42151</v>
      </c>
    </row>
    <row r="192" spans="1:15" x14ac:dyDescent="0.25">
      <c r="A192" s="42">
        <v>42134</v>
      </c>
      <c r="B192" s="42">
        <v>42626</v>
      </c>
      <c r="C192" s="41">
        <f t="shared" si="12"/>
        <v>350</v>
      </c>
      <c r="D192" s="48"/>
      <c r="E192" s="45"/>
      <c r="I192" s="42">
        <v>42189</v>
      </c>
    </row>
    <row r="193" spans="1:9" x14ac:dyDescent="0.25">
      <c r="A193" s="42">
        <v>43231</v>
      </c>
      <c r="B193" s="42">
        <v>43875</v>
      </c>
      <c r="C193" s="41">
        <f t="shared" si="12"/>
        <v>461</v>
      </c>
      <c r="D193" s="48"/>
      <c r="E193" s="45"/>
      <c r="I193" s="42">
        <v>42249</v>
      </c>
    </row>
  </sheetData>
  <mergeCells count="2">
    <mergeCell ref="A1:C2"/>
    <mergeCell ref="B5:F5"/>
  </mergeCells>
  <conditionalFormatting sqref="A8:B15 A7:C7 D7:E15">
    <cfRule type="expression" dxfId="2" priority="3">
      <formula>MOD(ROW(),2)=0</formula>
    </cfRule>
  </conditionalFormatting>
  <conditionalFormatting sqref="C8:C15">
    <cfRule type="expression" dxfId="1" priority="2">
      <formula>MOD(ROW(),2)=0</formula>
    </cfRule>
  </conditionalFormatting>
  <conditionalFormatting sqref="F7:F1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Crack Jobs #39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Innozant</cp:lastModifiedBy>
  <dcterms:created xsi:type="dcterms:W3CDTF">2020-03-11T06:04:49Z</dcterms:created>
  <dcterms:modified xsi:type="dcterms:W3CDTF">2021-05-03T09:45:04Z</dcterms:modified>
</cp:coreProperties>
</file>