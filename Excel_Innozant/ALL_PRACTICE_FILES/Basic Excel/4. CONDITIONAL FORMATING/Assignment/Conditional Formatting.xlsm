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4. CONDITIONAL FORMATING\Assignment\"/>
    </mc:Choice>
  </mc:AlternateContent>
  <xr:revisionPtr revIDLastSave="0" documentId="13_ncr:1_{FDE0416D-77D6-41EE-AB4E-A2181C7F80D6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Topics" sheetId="1" r:id="rId1"/>
    <sheet name="CF(1-5)" sheetId="2" r:id="rId2"/>
    <sheet name="CF(6-7)" sheetId="3" r:id="rId3"/>
    <sheet name="CF(8-11)" sheetId="4" r:id="rId4"/>
    <sheet name="CF(12-13)" sheetId="5" r:id="rId5"/>
    <sheet name="CF(14-15)" sheetId="6" r:id="rId6"/>
    <sheet name="CF(16)" sheetId="7" r:id="rId7"/>
    <sheet name="CF(17)" sheetId="8" r:id="rId8"/>
    <sheet name="CF(18-21)" sheetId="9" r:id="rId9"/>
    <sheet name="CF(22-23)" sheetId="10" r:id="rId10"/>
    <sheet name="CF(24)" sheetId="11" r:id="rId11"/>
    <sheet name="CF(25)" sheetId="12" r:id="rId12"/>
    <sheet name="CF(26)" sheetId="13" r:id="rId13"/>
    <sheet name="CF(27)" sheetId="14" r:id="rId14"/>
    <sheet name="CF(28)" sheetId="15" r:id="rId15"/>
    <sheet name="CF(29)" sheetId="20" r:id="rId16"/>
    <sheet name="CF(30)" sheetId="23" r:id="rId1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23" l="1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9" i="23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9" i="20"/>
  <c r="E4" i="14"/>
  <c r="F4" i="14"/>
  <c r="G4" i="14"/>
  <c r="E5" i="14"/>
  <c r="F5" i="14"/>
  <c r="G5" i="14"/>
  <c r="E6" i="14"/>
  <c r="F6" i="14"/>
  <c r="G6" i="14"/>
  <c r="E7" i="14"/>
  <c r="F7" i="14"/>
  <c r="G7" i="14"/>
  <c r="E8" i="14"/>
  <c r="F8" i="14"/>
  <c r="G8" i="14"/>
  <c r="E9" i="14"/>
  <c r="F9" i="14"/>
  <c r="G9" i="14"/>
  <c r="E10" i="14"/>
  <c r="F10" i="14"/>
  <c r="G10" i="14"/>
  <c r="H8" i="12"/>
  <c r="I8" i="12"/>
  <c r="J8" i="12"/>
  <c r="K8" i="12"/>
  <c r="L8" i="12"/>
  <c r="M8" i="12"/>
  <c r="H9" i="12"/>
  <c r="I9" i="12"/>
  <c r="J9" i="12"/>
  <c r="K9" i="12"/>
  <c r="L9" i="12"/>
  <c r="M9" i="12"/>
  <c r="H10" i="12"/>
  <c r="I10" i="12"/>
  <c r="J10" i="12"/>
  <c r="K10" i="12"/>
  <c r="L10" i="12"/>
  <c r="M10" i="12"/>
  <c r="H11" i="12"/>
  <c r="I11" i="12"/>
  <c r="J11" i="12"/>
  <c r="K11" i="12"/>
  <c r="L11" i="12"/>
  <c r="M11" i="12"/>
  <c r="H12" i="12"/>
  <c r="I12" i="12"/>
  <c r="J12" i="12"/>
  <c r="K12" i="12"/>
  <c r="L12" i="12"/>
  <c r="M12" i="12"/>
  <c r="H13" i="12"/>
  <c r="I13" i="12"/>
  <c r="J13" i="12"/>
  <c r="K13" i="12"/>
  <c r="L13" i="12"/>
  <c r="M13" i="12"/>
  <c r="H14" i="12"/>
  <c r="I14" i="12"/>
  <c r="J14" i="12"/>
  <c r="K14" i="12"/>
  <c r="L14" i="12"/>
  <c r="M14" i="12"/>
  <c r="H15" i="12"/>
  <c r="I15" i="12"/>
  <c r="J15" i="12"/>
  <c r="K15" i="12"/>
  <c r="L15" i="12"/>
  <c r="M15" i="12"/>
  <c r="H16" i="12"/>
  <c r="I16" i="12"/>
  <c r="J16" i="12"/>
  <c r="K16" i="12"/>
  <c r="L16" i="12"/>
  <c r="M16" i="12"/>
  <c r="H17" i="12"/>
  <c r="I17" i="12"/>
  <c r="J17" i="12"/>
  <c r="K17" i="12"/>
  <c r="L17" i="12"/>
  <c r="M17" i="12"/>
  <c r="H18" i="12"/>
  <c r="I18" i="12"/>
  <c r="J18" i="12"/>
  <c r="K18" i="12"/>
  <c r="L18" i="12"/>
  <c r="M18" i="12"/>
  <c r="H19" i="12"/>
  <c r="I19" i="12"/>
  <c r="J19" i="12"/>
  <c r="K19" i="12"/>
  <c r="L19" i="12"/>
  <c r="M19" i="12"/>
  <c r="H20" i="12"/>
  <c r="I20" i="12"/>
  <c r="J20" i="12"/>
  <c r="K20" i="12"/>
  <c r="L20" i="12"/>
  <c r="M20" i="12"/>
  <c r="H21" i="12"/>
  <c r="I21" i="12"/>
  <c r="J21" i="12"/>
  <c r="K21" i="12"/>
  <c r="L21" i="12"/>
  <c r="M21" i="12"/>
  <c r="H22" i="12"/>
  <c r="I22" i="12"/>
  <c r="J22" i="12"/>
  <c r="K22" i="12"/>
  <c r="L22" i="12"/>
  <c r="M22" i="12"/>
  <c r="H23" i="12"/>
  <c r="I23" i="12"/>
  <c r="J23" i="12"/>
  <c r="K23" i="12"/>
  <c r="L23" i="12"/>
  <c r="M23" i="12"/>
  <c r="H24" i="12"/>
  <c r="I24" i="12"/>
  <c r="J24" i="12"/>
  <c r="K24" i="12"/>
  <c r="L24" i="12"/>
  <c r="M24" i="12"/>
  <c r="H25" i="12"/>
  <c r="I25" i="12"/>
  <c r="J25" i="12"/>
  <c r="K25" i="12"/>
  <c r="L25" i="12"/>
  <c r="M25" i="12"/>
  <c r="H26" i="12"/>
  <c r="I26" i="12"/>
  <c r="J26" i="12"/>
  <c r="K26" i="12"/>
  <c r="L26" i="12"/>
  <c r="M26" i="12"/>
  <c r="H27" i="12"/>
  <c r="I27" i="12"/>
  <c r="J27" i="12"/>
  <c r="K27" i="12"/>
  <c r="L27" i="12"/>
  <c r="M27" i="12"/>
  <c r="H28" i="12"/>
  <c r="I28" i="12"/>
  <c r="J28" i="12"/>
  <c r="K28" i="12"/>
  <c r="L28" i="12"/>
  <c r="M28" i="12"/>
  <c r="H29" i="12"/>
  <c r="I29" i="12"/>
  <c r="J29" i="12"/>
  <c r="K29" i="12"/>
  <c r="L29" i="12"/>
  <c r="M29" i="12"/>
  <c r="H30" i="12"/>
  <c r="I30" i="12"/>
  <c r="J30" i="12"/>
  <c r="K30" i="12"/>
  <c r="L30" i="12"/>
  <c r="M30" i="12"/>
  <c r="H31" i="12"/>
  <c r="I31" i="12"/>
  <c r="J31" i="12"/>
  <c r="K31" i="12"/>
  <c r="L31" i="12"/>
  <c r="M31" i="12"/>
  <c r="H32" i="12"/>
  <c r="I32" i="12"/>
  <c r="J32" i="12"/>
  <c r="K32" i="12"/>
  <c r="L32" i="12"/>
  <c r="M32" i="12"/>
  <c r="H33" i="12"/>
  <c r="I33" i="12"/>
  <c r="J33" i="12"/>
  <c r="K33" i="12"/>
  <c r="L33" i="12"/>
  <c r="M33" i="12"/>
  <c r="H34" i="12"/>
  <c r="I34" i="12"/>
  <c r="J34" i="12"/>
  <c r="K34" i="12"/>
  <c r="L34" i="12"/>
  <c r="M34" i="12"/>
  <c r="H35" i="12"/>
  <c r="I35" i="12"/>
  <c r="J35" i="12"/>
  <c r="K35" i="12"/>
  <c r="L35" i="12"/>
  <c r="M35" i="12"/>
  <c r="H36" i="12"/>
  <c r="I36" i="12"/>
  <c r="J36" i="12"/>
  <c r="K36" i="12"/>
  <c r="L36" i="12"/>
  <c r="M36" i="12"/>
  <c r="H37" i="12"/>
  <c r="I37" i="12"/>
  <c r="J37" i="12"/>
  <c r="K37" i="12"/>
  <c r="L37" i="12"/>
  <c r="M37" i="12"/>
  <c r="H38" i="12"/>
  <c r="I38" i="12"/>
  <c r="J38" i="12"/>
  <c r="K38" i="12"/>
  <c r="L38" i="12"/>
  <c r="M38" i="12"/>
  <c r="H39" i="12"/>
  <c r="I39" i="12"/>
  <c r="J39" i="12"/>
  <c r="K39" i="12"/>
  <c r="L39" i="12"/>
  <c r="M39" i="12"/>
  <c r="H40" i="12"/>
  <c r="I40" i="12"/>
  <c r="J40" i="12"/>
  <c r="K40" i="12"/>
  <c r="L40" i="12"/>
  <c r="M40" i="12"/>
  <c r="H41" i="12"/>
  <c r="I41" i="12"/>
  <c r="J41" i="12"/>
  <c r="K41" i="12"/>
  <c r="L41" i="12"/>
  <c r="M41" i="12"/>
  <c r="H42" i="12"/>
  <c r="I42" i="12"/>
  <c r="J42" i="12"/>
  <c r="K42" i="12"/>
  <c r="L42" i="12"/>
  <c r="M42" i="12"/>
  <c r="H43" i="12"/>
  <c r="I43" i="12"/>
  <c r="J43" i="12"/>
  <c r="K43" i="12"/>
  <c r="L43" i="12"/>
  <c r="M43" i="12"/>
  <c r="H44" i="12"/>
  <c r="I44" i="12"/>
  <c r="J44" i="12"/>
  <c r="K44" i="12"/>
  <c r="L44" i="12"/>
  <c r="M44" i="12"/>
  <c r="H45" i="12"/>
  <c r="I45" i="12"/>
  <c r="J45" i="12"/>
  <c r="K45" i="12"/>
  <c r="L45" i="12"/>
  <c r="M45" i="12"/>
  <c r="H46" i="12"/>
  <c r="I46" i="12"/>
  <c r="J46" i="12"/>
  <c r="K46" i="12"/>
  <c r="L46" i="12"/>
  <c r="M46" i="12"/>
  <c r="H47" i="12"/>
  <c r="I47" i="12"/>
  <c r="J47" i="12"/>
  <c r="K47" i="12"/>
  <c r="L47" i="12"/>
  <c r="M47" i="12"/>
  <c r="H48" i="12"/>
  <c r="I48" i="12"/>
  <c r="J48" i="12"/>
  <c r="K48" i="12"/>
  <c r="L48" i="12"/>
  <c r="M48" i="12"/>
  <c r="H49" i="12"/>
  <c r="I49" i="12"/>
  <c r="J49" i="12"/>
  <c r="K49" i="12"/>
  <c r="L49" i="12"/>
  <c r="M49" i="12"/>
  <c r="H50" i="12"/>
  <c r="I50" i="12"/>
  <c r="J50" i="12"/>
  <c r="K50" i="12"/>
  <c r="L50" i="12"/>
  <c r="M50" i="12"/>
  <c r="H51" i="12"/>
  <c r="I51" i="12"/>
  <c r="J51" i="12"/>
  <c r="K51" i="12"/>
  <c r="L51" i="12"/>
  <c r="M51" i="12"/>
  <c r="H52" i="12"/>
  <c r="I52" i="12"/>
  <c r="J52" i="12"/>
  <c r="K52" i="12"/>
  <c r="L52" i="12"/>
  <c r="M52" i="12"/>
  <c r="H53" i="12"/>
  <c r="I53" i="12"/>
  <c r="J53" i="12"/>
  <c r="K53" i="12"/>
  <c r="L53" i="12"/>
  <c r="M53" i="12"/>
  <c r="I7" i="12"/>
  <c r="J7" i="12"/>
  <c r="K7" i="12"/>
  <c r="L7" i="12"/>
  <c r="M7" i="12"/>
  <c r="H7" i="12"/>
  <c r="E14" i="9"/>
  <c r="E15" i="9"/>
  <c r="E16" i="9"/>
  <c r="E17" i="9"/>
  <c r="E18" i="9"/>
  <c r="E19" i="9"/>
  <c r="E13" i="9"/>
  <c r="D5" i="6"/>
  <c r="D6" i="6"/>
  <c r="D7" i="6"/>
  <c r="D8" i="6"/>
  <c r="D9" i="6"/>
  <c r="D10" i="6"/>
  <c r="D11" i="6"/>
  <c r="D12" i="6"/>
  <c r="D13" i="6"/>
  <c r="D14" i="6"/>
  <c r="D4" i="5"/>
  <c r="E4" i="5"/>
  <c r="F4" i="5"/>
  <c r="G4" i="5"/>
  <c r="H4" i="5"/>
  <c r="I4" i="5"/>
  <c r="J4" i="5"/>
  <c r="D5" i="5"/>
  <c r="E5" i="5"/>
  <c r="F5" i="5"/>
  <c r="G5" i="5"/>
  <c r="H5" i="5"/>
  <c r="I5" i="5"/>
  <c r="J5" i="5"/>
  <c r="D6" i="5"/>
  <c r="E6" i="5"/>
  <c r="F6" i="5"/>
  <c r="G6" i="5"/>
  <c r="H6" i="5"/>
  <c r="I6" i="5"/>
  <c r="J6" i="5"/>
  <c r="D7" i="5"/>
  <c r="E7" i="5"/>
  <c r="F7" i="5"/>
  <c r="G7" i="5"/>
  <c r="H7" i="5"/>
  <c r="I7" i="5"/>
  <c r="J7" i="5"/>
  <c r="D8" i="5"/>
  <c r="E8" i="5"/>
  <c r="F8" i="5"/>
  <c r="G8" i="5"/>
  <c r="H8" i="5"/>
  <c r="I8" i="5"/>
  <c r="J8" i="5"/>
  <c r="D9" i="5"/>
  <c r="E9" i="5"/>
  <c r="F9" i="5"/>
  <c r="G9" i="5"/>
  <c r="H9" i="5"/>
  <c r="I9" i="5"/>
  <c r="J9" i="5"/>
  <c r="D10" i="5"/>
  <c r="E10" i="5"/>
  <c r="F10" i="5"/>
  <c r="G10" i="5"/>
  <c r="H10" i="5"/>
  <c r="I10" i="5"/>
  <c r="J10" i="5"/>
  <c r="D11" i="5"/>
  <c r="E11" i="5"/>
  <c r="F11" i="5"/>
  <c r="G11" i="5"/>
  <c r="H11" i="5"/>
  <c r="I11" i="5"/>
  <c r="J11" i="5"/>
  <c r="D12" i="5"/>
  <c r="E12" i="5"/>
  <c r="F12" i="5"/>
  <c r="G12" i="5"/>
  <c r="H12" i="5"/>
  <c r="I12" i="5"/>
  <c r="J12" i="5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E6" i="4"/>
  <c r="E7" i="4"/>
  <c r="E8" i="4"/>
  <c r="E9" i="4"/>
  <c r="E10" i="4"/>
  <c r="E11" i="4"/>
  <c r="E12" i="4"/>
  <c r="E13" i="4"/>
  <c r="E14" i="4"/>
  <c r="E15" i="4"/>
  <c r="E29" i="8" l="1"/>
  <c r="I29" i="8" s="1"/>
  <c r="E28" i="8"/>
  <c r="I28" i="8" s="1"/>
  <c r="E27" i="8"/>
  <c r="I27" i="8" s="1"/>
  <c r="E26" i="8"/>
  <c r="I26" i="8" s="1"/>
  <c r="E25" i="8"/>
  <c r="I25" i="8" s="1"/>
  <c r="E24" i="8"/>
  <c r="I24" i="8" s="1"/>
  <c r="E19" i="8"/>
  <c r="E18" i="8"/>
  <c r="E17" i="8"/>
  <c r="E16" i="8"/>
  <c r="E15" i="8"/>
  <c r="E14" i="8"/>
  <c r="E9" i="8"/>
  <c r="E8" i="8"/>
  <c r="E7" i="8"/>
  <c r="E6" i="8"/>
  <c r="E5" i="8"/>
  <c r="E4" i="8"/>
</calcChain>
</file>

<file path=xl/sharedStrings.xml><?xml version="1.0" encoding="utf-8"?>
<sst xmlns="http://schemas.openxmlformats.org/spreadsheetml/2006/main" count="944" uniqueCount="118">
  <si>
    <t>Date</t>
  </si>
  <si>
    <t>Company</t>
  </si>
  <si>
    <t>Product</t>
  </si>
  <si>
    <t>Net Sales</t>
  </si>
  <si>
    <t>Cost</t>
  </si>
  <si>
    <t>Quad</t>
  </si>
  <si>
    <t>Tri Fly</t>
  </si>
  <si>
    <t>V-Rang</t>
  </si>
  <si>
    <t>Carlota</t>
  </si>
  <si>
    <t>Darnell</t>
  </si>
  <si>
    <t>Bellen</t>
  </si>
  <si>
    <t>Yanaki</t>
  </si>
  <si>
    <t>Mt. Fun</t>
  </si>
  <si>
    <t>Sunset</t>
  </si>
  <si>
    <t>Aspen</t>
  </si>
  <si>
    <t>Crest</t>
  </si>
  <si>
    <t>Fun Fly</t>
  </si>
  <si>
    <t>FastFly</t>
  </si>
  <si>
    <t>Topics:</t>
  </si>
  <si>
    <t>Conditional Formatting to cells: A logical test that comes out TRUE or FALSE.</t>
  </si>
  <si>
    <t>TRUE = the cell gets the formatting</t>
  </si>
  <si>
    <t>FALSE = the cell does NOT get the formatting</t>
  </si>
  <si>
    <t>Conditional Formatting to cells: A logical test that comes out TRUE or FALSE. TRUE = get Formatting. FALSE = Not get Formatting.</t>
  </si>
  <si>
    <t>Top Bottom Rules for numbers</t>
  </si>
  <si>
    <t>Logical Formulas:</t>
  </si>
  <si>
    <t>TRUE = get Formatting. FALSE = Not get Formatting.</t>
  </si>
  <si>
    <t>FALSE = Not get Formatting.</t>
  </si>
  <si>
    <t>Format whole column</t>
  </si>
  <si>
    <t>Built-in Conditional Formatting</t>
  </si>
  <si>
    <t>Data Bars = Ranks the numbers with length of bar</t>
  </si>
  <si>
    <t>Format whole row based on date</t>
  </si>
  <si>
    <t>Format whole row based on Invoice number</t>
  </si>
  <si>
    <t>Format number less than zero: 3 methods</t>
  </si>
  <si>
    <t>Invoice</t>
  </si>
  <si>
    <t>Gel Booms</t>
  </si>
  <si>
    <t>Colorad Boom</t>
  </si>
  <si>
    <r>
      <rPr>
        <b/>
        <sz val="11"/>
        <color theme="1"/>
        <rFont val="Calibri"/>
        <family val="2"/>
        <scheme val="minor"/>
      </rPr>
      <t>Top Bottom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Rules </t>
    </r>
    <r>
      <rPr>
        <sz val="11"/>
        <color theme="1"/>
        <rFont val="Calibri"/>
        <family val="2"/>
        <scheme val="minor"/>
      </rPr>
      <t>for numbers</t>
    </r>
  </si>
  <si>
    <r>
      <rPr>
        <b/>
        <sz val="11"/>
        <color theme="1"/>
        <rFont val="Calibri"/>
        <family val="2"/>
        <scheme val="minor"/>
      </rPr>
      <t>Data Bars</t>
    </r>
    <r>
      <rPr>
        <sz val="11"/>
        <color theme="1"/>
        <rFont val="Calibri"/>
        <family val="2"/>
        <scheme val="minor"/>
      </rPr>
      <t xml:space="preserve"> = Ranks the numbers with length of bar</t>
    </r>
  </si>
  <si>
    <t>Any formula that comes out TRUE or FALSE</t>
  </si>
  <si>
    <t>Errors are ignored</t>
  </si>
  <si>
    <t>Array Formulas work in Conditional Formatting dailog box</t>
  </si>
  <si>
    <t>Any non-zero number = TRUE</t>
  </si>
  <si>
    <t>Zero = FALSE</t>
  </si>
  <si>
    <t>This means the full list for what the formula can evaluate to and apply formatting is:</t>
  </si>
  <si>
    <t>Get Formatting = TRUE or Any Non-Zero Number</t>
  </si>
  <si>
    <t>NOT Get Formatting = FALSE or Zero or Error</t>
  </si>
  <si>
    <t>Top 3</t>
  </si>
  <si>
    <t>Highlight Cell Rules for different data types and comparative operators</t>
  </si>
  <si>
    <r>
      <rPr>
        <b/>
        <sz val="11"/>
        <color theme="1"/>
        <rFont val="Calibri"/>
        <family val="2"/>
        <scheme val="minor"/>
      </rPr>
      <t>Highlight Cell Rules</t>
    </r>
    <r>
      <rPr>
        <sz val="11"/>
        <color theme="1"/>
        <rFont val="Calibri"/>
        <family val="2"/>
        <scheme val="minor"/>
      </rPr>
      <t xml:space="preserve"> for different data types and comparative operators</t>
    </r>
  </si>
  <si>
    <t>Above Average</t>
  </si>
  <si>
    <t>Grades</t>
  </si>
  <si>
    <t>Chart</t>
  </si>
  <si>
    <t>Data bars in cell next to numbers</t>
  </si>
  <si>
    <t>Data Bar on top of numbers</t>
  </si>
  <si>
    <t>Color scales = Ranks number by color.</t>
  </si>
  <si>
    <t>Icons = divides the numbers into 3, 4, or 5 groups (Top, middle, bottom)</t>
  </si>
  <si>
    <t>Arrow Icons on top of numbers</t>
  </si>
  <si>
    <t>Arrow Icons next to numbers</t>
  </si>
  <si>
    <r>
      <t xml:space="preserve">Color scales </t>
    </r>
    <r>
      <rPr>
        <sz val="11"/>
        <color theme="1"/>
        <rFont val="Calibri"/>
        <family val="2"/>
        <scheme val="minor"/>
      </rPr>
      <t>= Ranks number by color.</t>
    </r>
  </si>
  <si>
    <r>
      <t xml:space="preserve">Icons </t>
    </r>
    <r>
      <rPr>
        <sz val="11"/>
        <color theme="1"/>
        <rFont val="Calibri"/>
        <family val="2"/>
        <scheme val="minor"/>
      </rPr>
      <t>= divides the numbers into 3, 4, or 5 groups (Top, middle, bottom)</t>
    </r>
  </si>
  <si>
    <t>Formula Examples:</t>
  </si>
  <si>
    <t>Manage Rules dialog Box</t>
  </si>
  <si>
    <t>Manage Rule dialog box keyboard: Alt, O, D</t>
  </si>
  <si>
    <t>Stock</t>
  </si>
  <si>
    <t>Buy Price</t>
  </si>
  <si>
    <t>Price today</t>
  </si>
  <si>
    <t>Quantity</t>
  </si>
  <si>
    <t>Profit</t>
  </si>
  <si>
    <t>GOOG</t>
  </si>
  <si>
    <t>GE</t>
  </si>
  <si>
    <t>KO</t>
  </si>
  <si>
    <t>MSFT</t>
  </si>
  <si>
    <t>KK</t>
  </si>
  <si>
    <t>SW</t>
  </si>
  <si>
    <t>OR:</t>
  </si>
  <si>
    <t>Value:</t>
  </si>
  <si>
    <t>Actual</t>
  </si>
  <si>
    <t>Expense</t>
  </si>
  <si>
    <t>Rent</t>
  </si>
  <si>
    <t>Budgeted Amount</t>
  </si>
  <si>
    <t>Operations</t>
  </si>
  <si>
    <t>Administration</t>
  </si>
  <si>
    <t>COGS</t>
  </si>
  <si>
    <t>Wage</t>
  </si>
  <si>
    <t>Depr</t>
  </si>
  <si>
    <t>Other</t>
  </si>
  <si>
    <t>Array Formulas work in Conditional Formatting dialog box</t>
  </si>
  <si>
    <t>Keyboard for New Format Rule dialog box: Alt, O, D, Alt + N    or   Alt, H, L, N</t>
  </si>
  <si>
    <t>Keyboard to delete rule: Alt, O, D, D, Enter</t>
  </si>
  <si>
    <t>Category</t>
  </si>
  <si>
    <t>Format cell based on a different cell's value: Format Net Sales based on date</t>
  </si>
  <si>
    <t>Format cell based on a different cell's value: Format Net Sales based on Invoice number</t>
  </si>
  <si>
    <t>Format Actual when Actual Exceeds Budgeted: 2 methods</t>
  </si>
  <si>
    <t>Format Row when Actual Exceeds Budgeted</t>
  </si>
  <si>
    <t>Jan</t>
  </si>
  <si>
    <t>Feb</t>
  </si>
  <si>
    <t>Mar</t>
  </si>
  <si>
    <t>Apr</t>
  </si>
  <si>
    <t>May</t>
  </si>
  <si>
    <t>Jun</t>
  </si>
  <si>
    <t>Month</t>
  </si>
  <si>
    <t>Format cell based on OR criteria: MATCH function (Errors are ignored, Any non-zero number = TRUE).</t>
  </si>
  <si>
    <t>Format cell based on OR criteria: OR function.</t>
  </si>
  <si>
    <t>Fun</t>
  </si>
  <si>
    <t>Criteria:</t>
  </si>
  <si>
    <t>Fun with CF, RAND, and Bubble Chart</t>
  </si>
  <si>
    <t>Clear Content and CF still remains</t>
  </si>
  <si>
    <t>Sort and CF will adjust</t>
  </si>
  <si>
    <t>Type in textbox: Greater than 1000</t>
  </si>
  <si>
    <t>Type in textbox: Contains "Fun"</t>
  </si>
  <si>
    <t>Link textbox to cell: Contains "Fun"</t>
  </si>
  <si>
    <t>Link textbox to cell: Greater than 1000</t>
  </si>
  <si>
    <t>Fun Rang</t>
  </si>
  <si>
    <t>Greater than</t>
  </si>
  <si>
    <t>Contains</t>
  </si>
  <si>
    <t>Data bars in cell next to numbers. Also RANDBETWEEN Conditional Formatting.</t>
  </si>
  <si>
    <t>Format cell based on OR criteria</t>
  </si>
  <si>
    <t>Conditional Formatting Basic To Advanced Examples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</si>
</sst>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3" borderId="2">
      <alignment wrapText="1"/>
    </xf>
    <xf numFmtId="0" fontId="4" fillId="4" borderId="2"/>
  </cellStyleXfs>
  <cellXfs count="33">
    <xf numFmtId="0" fontId="0" fillId="0" borderId="0" xfId="0"/>
    <xf numFmtId="0" fontId="1" fillId="2" borderId="1" xfId="0" applyFont="1" applyFill="1" applyBorder="1" applyAlignment="1">
      <alignment wrapText="1"/>
    </xf>
    <xf numFmtId="0" fontId="2" fillId="0" borderId="2" xfId="0" applyFont="1" applyFill="1" applyBorder="1"/>
    <xf numFmtId="14" fontId="2" fillId="0" borderId="2" xfId="0" applyNumberFormat="1" applyFont="1" applyFill="1" applyBorder="1"/>
    <xf numFmtId="0" fontId="2" fillId="0" borderId="2" xfId="0" applyNumberFormat="1" applyFont="1" applyFill="1" applyBorder="1"/>
    <xf numFmtId="8" fontId="2" fillId="0" borderId="2" xfId="0" applyNumberFormat="1" applyFont="1" applyFill="1" applyBorder="1"/>
    <xf numFmtId="0" fontId="3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0" borderId="0" xfId="0" applyFont="1" applyAlignment="1">
      <alignment horizontal="left" indent="1"/>
    </xf>
    <xf numFmtId="0" fontId="5" fillId="0" borderId="0" xfId="0" applyFont="1" applyAlignment="1">
      <alignment horizontal="left"/>
    </xf>
    <xf numFmtId="0" fontId="5" fillId="0" borderId="0" xfId="0" applyFont="1"/>
    <xf numFmtId="0" fontId="3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0" fontId="4" fillId="3" borderId="2" xfId="0" applyFont="1" applyFill="1" applyBorder="1"/>
    <xf numFmtId="0" fontId="0" fillId="0" borderId="2" xfId="0" applyBorder="1"/>
    <xf numFmtId="8" fontId="0" fillId="0" borderId="2" xfId="0" applyNumberFormat="1" applyBorder="1"/>
    <xf numFmtId="0" fontId="3" fillId="0" borderId="2" xfId="0" applyFont="1" applyBorder="1"/>
    <xf numFmtId="0" fontId="4" fillId="3" borderId="2" xfId="0" applyFont="1" applyFill="1" applyBorder="1" applyAlignment="1">
      <alignment wrapText="1"/>
    </xf>
    <xf numFmtId="164" fontId="0" fillId="0" borderId="2" xfId="0" applyNumberFormat="1" applyBorder="1"/>
    <xf numFmtId="14" fontId="0" fillId="0" borderId="0" xfId="0" applyNumberFormat="1"/>
    <xf numFmtId="0" fontId="2" fillId="0" borderId="0" xfId="0" applyFont="1" applyFill="1" applyBorder="1"/>
    <xf numFmtId="14" fontId="0" fillId="0" borderId="2" xfId="0" applyNumberFormat="1" applyBorder="1"/>
    <xf numFmtId="0" fontId="1" fillId="2" borderId="1" xfId="0" applyNumberFormat="1" applyFont="1" applyFill="1" applyBorder="1" applyAlignment="1">
      <alignment wrapText="1"/>
    </xf>
    <xf numFmtId="0" fontId="4" fillId="4" borderId="2" xfId="0" applyFont="1" applyFill="1" applyBorder="1"/>
    <xf numFmtId="0" fontId="4" fillId="4" borderId="2" xfId="2"/>
    <xf numFmtId="0" fontId="4" fillId="4" borderId="2" xfId="2" applyAlignment="1">
      <alignment wrapText="1"/>
    </xf>
    <xf numFmtId="0" fontId="7" fillId="5" borderId="2" xfId="0" applyFont="1" applyFill="1" applyBorder="1" applyAlignment="1">
      <alignment wrapText="1"/>
    </xf>
    <xf numFmtId="0" fontId="4" fillId="4" borderId="2" xfId="2" applyBorder="1"/>
    <xf numFmtId="0" fontId="1" fillId="2" borderId="2" xfId="0" applyFont="1" applyFill="1" applyBorder="1" applyAlignment="1">
      <alignment wrapText="1"/>
    </xf>
    <xf numFmtId="0" fontId="0" fillId="0" borderId="0" xfId="0" applyFont="1" applyAlignment="1">
      <alignment horizontal="left" indent="1"/>
    </xf>
    <xf numFmtId="0" fontId="8" fillId="0" borderId="0" xfId="0" applyFont="1"/>
    <xf numFmtId="0" fontId="9" fillId="0" borderId="0" xfId="0" applyFont="1"/>
  </cellXfs>
  <cellStyles count="3">
    <cellStyle name="Blue" xfId="1" xr:uid="{00000000-0005-0000-0000-000000000000}"/>
    <cellStyle name="Normal" xfId="0" builtinId="0"/>
    <cellStyle name="Red" xfId="2" xr:uid="{00000000-0005-0000-0000-000002000000}"/>
  </cellStyles>
  <dxfs count="2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0.45338697752004953</c:v>
                </c:pt>
                <c:pt idx="1">
                  <c:v>0.68970056680767333</c:v>
                </c:pt>
                <c:pt idx="2">
                  <c:v>0.31537413299129435</c:v>
                </c:pt>
                <c:pt idx="3">
                  <c:v>0.7708962389027616</c:v>
                </c:pt>
                <c:pt idx="4">
                  <c:v>0.38545748147686154</c:v>
                </c:pt>
                <c:pt idx="5">
                  <c:v>0.80522685737233479</c:v>
                </c:pt>
                <c:pt idx="6">
                  <c:v>0.95924659671142087</c:v>
                </c:pt>
                <c:pt idx="7">
                  <c:v>0.45599213028869912</c:v>
                </c:pt>
                <c:pt idx="8">
                  <c:v>0.18822170096150714</c:v>
                </c:pt>
              </c:numCache>
            </c:numRef>
          </c:xVal>
          <c:yVal>
            <c:numRef>
              <c:f>'CF(12-13)'!$E$4:$E$12</c:f>
              <c:numCache>
                <c:formatCode>General</c:formatCode>
                <c:ptCount val="9"/>
                <c:pt idx="0">
                  <c:v>0.19089419133614427</c:v>
                </c:pt>
                <c:pt idx="1">
                  <c:v>0.27956416088799296</c:v>
                </c:pt>
                <c:pt idx="2">
                  <c:v>8.6503887133754342E-2</c:v>
                </c:pt>
                <c:pt idx="3">
                  <c:v>0.71745030890462436</c:v>
                </c:pt>
                <c:pt idx="4">
                  <c:v>0.24544627499578509</c:v>
                </c:pt>
                <c:pt idx="5">
                  <c:v>0.41681902147415995</c:v>
                </c:pt>
                <c:pt idx="6">
                  <c:v>0.31248159989687563</c:v>
                </c:pt>
                <c:pt idx="7">
                  <c:v>0.38294657429427004</c:v>
                </c:pt>
                <c:pt idx="8">
                  <c:v>0.78581506717412364</c:v>
                </c:pt>
              </c:numCache>
            </c:numRef>
          </c:yVal>
          <c:bubbleSize>
            <c:numRef>
              <c:f>'CF(12-13)'!$F$4:$F$12</c:f>
              <c:numCache>
                <c:formatCode>General</c:formatCode>
                <c:ptCount val="9"/>
                <c:pt idx="0">
                  <c:v>0.1862420425974779</c:v>
                </c:pt>
                <c:pt idx="1">
                  <c:v>0.35869239797988761</c:v>
                </c:pt>
                <c:pt idx="2">
                  <c:v>0.77766150868305528</c:v>
                </c:pt>
                <c:pt idx="3">
                  <c:v>0.86030452428934545</c:v>
                </c:pt>
                <c:pt idx="4">
                  <c:v>6.8171577897575886E-2</c:v>
                </c:pt>
                <c:pt idx="5">
                  <c:v>0.15831339872999317</c:v>
                </c:pt>
                <c:pt idx="6">
                  <c:v>0.77930858086127797</c:v>
                </c:pt>
                <c:pt idx="7">
                  <c:v>0.4030027676472232</c:v>
                </c:pt>
                <c:pt idx="8">
                  <c:v>0.71684573702894816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DB11-4B55-9646-9C0F59796518}"/>
            </c:ext>
          </c:extLst>
        </c:ser>
        <c:ser>
          <c:idx val="1"/>
          <c:order val="1"/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0.45338697752004953</c:v>
                </c:pt>
                <c:pt idx="1">
                  <c:v>0.68970056680767333</c:v>
                </c:pt>
                <c:pt idx="2">
                  <c:v>0.31537413299129435</c:v>
                </c:pt>
                <c:pt idx="3">
                  <c:v>0.7708962389027616</c:v>
                </c:pt>
                <c:pt idx="4">
                  <c:v>0.38545748147686154</c:v>
                </c:pt>
                <c:pt idx="5">
                  <c:v>0.80522685737233479</c:v>
                </c:pt>
                <c:pt idx="6">
                  <c:v>0.95924659671142087</c:v>
                </c:pt>
                <c:pt idx="7">
                  <c:v>0.45599213028869912</c:v>
                </c:pt>
                <c:pt idx="8">
                  <c:v>0.18822170096150714</c:v>
                </c:pt>
              </c:numCache>
            </c:numRef>
          </c:xVal>
          <c:yVal>
            <c:numRef>
              <c:f>'CF(12-13)'!$G$4:$G$12</c:f>
              <c:numCache>
                <c:formatCode>General</c:formatCode>
                <c:ptCount val="9"/>
                <c:pt idx="0">
                  <c:v>4.3474764463544258E-2</c:v>
                </c:pt>
                <c:pt idx="1">
                  <c:v>0.87641266791536265</c:v>
                </c:pt>
                <c:pt idx="2">
                  <c:v>0.70842285079360801</c:v>
                </c:pt>
                <c:pt idx="3">
                  <c:v>2.0523178759461858E-2</c:v>
                </c:pt>
                <c:pt idx="4">
                  <c:v>0.26345076149196855</c:v>
                </c:pt>
                <c:pt idx="5">
                  <c:v>0.26462997437321167</c:v>
                </c:pt>
                <c:pt idx="6">
                  <c:v>0.29669947572411459</c:v>
                </c:pt>
                <c:pt idx="7">
                  <c:v>0.66862251680582008</c:v>
                </c:pt>
                <c:pt idx="8">
                  <c:v>0.52379712036270198</c:v>
                </c:pt>
              </c:numCache>
            </c:numRef>
          </c:yVal>
          <c:bubbleSize>
            <c:numRef>
              <c:f>'CF(12-13)'!$H$4:$H$12</c:f>
              <c:numCache>
                <c:formatCode>General</c:formatCode>
                <c:ptCount val="9"/>
                <c:pt idx="0">
                  <c:v>0.97860412055448442</c:v>
                </c:pt>
                <c:pt idx="1">
                  <c:v>6.1498807987698467E-2</c:v>
                </c:pt>
                <c:pt idx="2">
                  <c:v>0.11003706154680559</c:v>
                </c:pt>
                <c:pt idx="3">
                  <c:v>0.76701158147100135</c:v>
                </c:pt>
                <c:pt idx="4">
                  <c:v>0.69291633704827882</c:v>
                </c:pt>
                <c:pt idx="5">
                  <c:v>0.59341824177895475</c:v>
                </c:pt>
                <c:pt idx="6">
                  <c:v>0.29486170739352913</c:v>
                </c:pt>
                <c:pt idx="7">
                  <c:v>0.826316948830223</c:v>
                </c:pt>
                <c:pt idx="8">
                  <c:v>0.78925695885293401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DB11-4B55-9646-9C0F59796518}"/>
            </c:ext>
          </c:extLst>
        </c:ser>
        <c:ser>
          <c:idx val="2"/>
          <c:order val="2"/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'CF(12-13)'!$D$4:$D$12</c:f>
              <c:numCache>
                <c:formatCode>General</c:formatCode>
                <c:ptCount val="9"/>
                <c:pt idx="0">
                  <c:v>0.45338697752004953</c:v>
                </c:pt>
                <c:pt idx="1">
                  <c:v>0.68970056680767333</c:v>
                </c:pt>
                <c:pt idx="2">
                  <c:v>0.31537413299129435</c:v>
                </c:pt>
                <c:pt idx="3">
                  <c:v>0.7708962389027616</c:v>
                </c:pt>
                <c:pt idx="4">
                  <c:v>0.38545748147686154</c:v>
                </c:pt>
                <c:pt idx="5">
                  <c:v>0.80522685737233479</c:v>
                </c:pt>
                <c:pt idx="6">
                  <c:v>0.95924659671142087</c:v>
                </c:pt>
                <c:pt idx="7">
                  <c:v>0.45599213028869912</c:v>
                </c:pt>
                <c:pt idx="8">
                  <c:v>0.18822170096150714</c:v>
                </c:pt>
              </c:numCache>
            </c:numRef>
          </c:xVal>
          <c:yVal>
            <c:numRef>
              <c:f>'CF(12-13)'!$I$4:$I$12</c:f>
              <c:numCache>
                <c:formatCode>General</c:formatCode>
                <c:ptCount val="9"/>
                <c:pt idx="0">
                  <c:v>0.85789729959316219</c:v>
                </c:pt>
                <c:pt idx="1">
                  <c:v>9.166543455441889E-2</c:v>
                </c:pt>
                <c:pt idx="2">
                  <c:v>0.38755568703001053</c:v>
                </c:pt>
                <c:pt idx="3">
                  <c:v>0.33685596533903639</c:v>
                </c:pt>
                <c:pt idx="4">
                  <c:v>0.43132383233606642</c:v>
                </c:pt>
                <c:pt idx="5">
                  <c:v>0.62944570483271534</c:v>
                </c:pt>
                <c:pt idx="6">
                  <c:v>0.42981180727514356</c:v>
                </c:pt>
                <c:pt idx="7">
                  <c:v>0.12587394405496877</c:v>
                </c:pt>
                <c:pt idx="8">
                  <c:v>0.81945877036272652</c:v>
                </c:pt>
              </c:numCache>
            </c:numRef>
          </c:yVal>
          <c:bubbleSize>
            <c:numRef>
              <c:f>'CF(12-13)'!$J$4:$J$12</c:f>
              <c:numCache>
                <c:formatCode>General</c:formatCode>
                <c:ptCount val="9"/>
                <c:pt idx="0">
                  <c:v>0.25837392513493063</c:v>
                </c:pt>
                <c:pt idx="1">
                  <c:v>0.94331947092234547</c:v>
                </c:pt>
                <c:pt idx="2">
                  <c:v>0.62059414802011437</c:v>
                </c:pt>
                <c:pt idx="3">
                  <c:v>0.89522576125212638</c:v>
                </c:pt>
                <c:pt idx="4">
                  <c:v>0.24046809520950263</c:v>
                </c:pt>
                <c:pt idx="5">
                  <c:v>0.34918544431042897</c:v>
                </c:pt>
                <c:pt idx="6">
                  <c:v>1.9216297428639284E-2</c:v>
                </c:pt>
                <c:pt idx="7">
                  <c:v>0.86897655433990573</c:v>
                </c:pt>
                <c:pt idx="8">
                  <c:v>0.3755116614408609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DB11-4B55-9646-9C0F59796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02877952"/>
        <c:axId val="302873248"/>
      </c:bubbleChart>
      <c:valAx>
        <c:axId val="302877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873248"/>
        <c:crosses val="autoZero"/>
        <c:crossBetween val="midCat"/>
      </c:valAx>
      <c:valAx>
        <c:axId val="302873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87795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194441</xdr:colOff>
      <xdr:row>2</xdr:row>
      <xdr:rowOff>179661</xdr:rowOff>
    </xdr:from>
    <xdr:to>
      <xdr:col>17</xdr:col>
      <xdr:colOff>490044</xdr:colOff>
      <xdr:row>17</xdr:row>
      <xdr:rowOff>65361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B49"/>
  <sheetViews>
    <sheetView tabSelected="1" zoomScale="130" zoomScaleNormal="130" workbookViewId="0">
      <selection activeCell="A2" sqref="A2"/>
    </sheetView>
  </sheetViews>
  <sheetFormatPr defaultRowHeight="15" x14ac:dyDescent="0.25"/>
  <cols>
    <col min="2" max="2" width="15.28515625" bestFit="1" customWidth="1"/>
    <col min="3" max="3" width="10.7109375" bestFit="1" customWidth="1"/>
    <col min="4" max="4" width="22.42578125" customWidth="1"/>
    <col min="5" max="5" width="28.42578125" bestFit="1" customWidth="1"/>
    <col min="6" max="6" width="10.7109375" customWidth="1"/>
    <col min="7" max="7" width="11.140625" customWidth="1"/>
  </cols>
  <sheetData>
    <row r="1" spans="1:2" ht="26.25" x14ac:dyDescent="0.4">
      <c r="A1" s="31" t="s">
        <v>117</v>
      </c>
    </row>
    <row r="3" spans="1:2" x14ac:dyDescent="0.25">
      <c r="B3" t="s">
        <v>18</v>
      </c>
    </row>
    <row r="4" spans="1:2" x14ac:dyDescent="0.25">
      <c r="A4">
        <v>1</v>
      </c>
      <c r="B4" t="s">
        <v>22</v>
      </c>
    </row>
    <row r="5" spans="1:2" x14ac:dyDescent="0.25">
      <c r="B5" s="10" t="s">
        <v>28</v>
      </c>
    </row>
    <row r="6" spans="1:2" x14ac:dyDescent="0.25">
      <c r="B6" s="7" t="s">
        <v>48</v>
      </c>
    </row>
    <row r="7" spans="1:2" x14ac:dyDescent="0.25">
      <c r="A7">
        <v>2</v>
      </c>
      <c r="B7" s="8" t="s">
        <v>108</v>
      </c>
    </row>
    <row r="8" spans="1:2" x14ac:dyDescent="0.25">
      <c r="A8">
        <v>3</v>
      </c>
      <c r="B8" s="8" t="s">
        <v>109</v>
      </c>
    </row>
    <row r="9" spans="1:2" x14ac:dyDescent="0.25">
      <c r="A9">
        <v>4</v>
      </c>
      <c r="B9" s="8" t="s">
        <v>111</v>
      </c>
    </row>
    <row r="10" spans="1:2" x14ac:dyDescent="0.25">
      <c r="A10">
        <v>5</v>
      </c>
      <c r="B10" s="8" t="s">
        <v>110</v>
      </c>
    </row>
    <row r="11" spans="1:2" x14ac:dyDescent="0.25">
      <c r="B11" s="7" t="s">
        <v>36</v>
      </c>
    </row>
    <row r="12" spans="1:2" x14ac:dyDescent="0.25">
      <c r="A12">
        <v>6</v>
      </c>
      <c r="B12" s="8" t="s">
        <v>46</v>
      </c>
    </row>
    <row r="13" spans="1:2" x14ac:dyDescent="0.25">
      <c r="A13">
        <v>7</v>
      </c>
      <c r="B13" s="8" t="s">
        <v>49</v>
      </c>
    </row>
    <row r="14" spans="1:2" x14ac:dyDescent="0.25">
      <c r="B14" s="7" t="s">
        <v>37</v>
      </c>
    </row>
    <row r="15" spans="1:2" x14ac:dyDescent="0.25">
      <c r="A15">
        <v>8</v>
      </c>
      <c r="B15" s="8" t="s">
        <v>53</v>
      </c>
    </row>
    <row r="16" spans="1:2" x14ac:dyDescent="0.25">
      <c r="A16">
        <v>9</v>
      </c>
      <c r="B16" s="8" t="s">
        <v>115</v>
      </c>
    </row>
    <row r="17" spans="1:2" x14ac:dyDescent="0.25">
      <c r="A17">
        <v>10</v>
      </c>
      <c r="B17" s="8" t="s">
        <v>61</v>
      </c>
    </row>
    <row r="18" spans="1:2" x14ac:dyDescent="0.25">
      <c r="A18">
        <v>11</v>
      </c>
      <c r="B18" s="8" t="s">
        <v>62</v>
      </c>
    </row>
    <row r="19" spans="1:2" x14ac:dyDescent="0.25">
      <c r="A19">
        <v>12</v>
      </c>
      <c r="B19" s="12" t="s">
        <v>58</v>
      </c>
    </row>
    <row r="20" spans="1:2" x14ac:dyDescent="0.25">
      <c r="A20">
        <v>13</v>
      </c>
      <c r="B20" s="30" t="s">
        <v>105</v>
      </c>
    </row>
    <row r="21" spans="1:2" x14ac:dyDescent="0.25">
      <c r="B21" s="12" t="s">
        <v>59</v>
      </c>
    </row>
    <row r="22" spans="1:2" x14ac:dyDescent="0.25">
      <c r="A22">
        <v>14</v>
      </c>
      <c r="B22" s="8" t="s">
        <v>56</v>
      </c>
    </row>
    <row r="23" spans="1:2" x14ac:dyDescent="0.25">
      <c r="A23">
        <v>15</v>
      </c>
      <c r="B23" s="8" t="s">
        <v>57</v>
      </c>
    </row>
    <row r="24" spans="1:2" x14ac:dyDescent="0.25">
      <c r="A24">
        <v>16</v>
      </c>
      <c r="B24" s="11" t="s">
        <v>24</v>
      </c>
    </row>
    <row r="25" spans="1:2" x14ac:dyDescent="0.25">
      <c r="B25" s="7" t="s">
        <v>38</v>
      </c>
    </row>
    <row r="26" spans="1:2" x14ac:dyDescent="0.25">
      <c r="B26" s="7" t="s">
        <v>25</v>
      </c>
    </row>
    <row r="27" spans="1:2" x14ac:dyDescent="0.25">
      <c r="B27" s="7" t="s">
        <v>26</v>
      </c>
    </row>
    <row r="28" spans="1:2" x14ac:dyDescent="0.25">
      <c r="B28" s="7" t="s">
        <v>86</v>
      </c>
    </row>
    <row r="29" spans="1:2" x14ac:dyDescent="0.25">
      <c r="B29" s="7" t="s">
        <v>39</v>
      </c>
    </row>
    <row r="30" spans="1:2" x14ac:dyDescent="0.25">
      <c r="B30" s="7" t="s">
        <v>41</v>
      </c>
    </row>
    <row r="31" spans="1:2" x14ac:dyDescent="0.25">
      <c r="B31" s="7" t="s">
        <v>42</v>
      </c>
    </row>
    <row r="32" spans="1:2" x14ac:dyDescent="0.25">
      <c r="B32" s="7" t="s">
        <v>43</v>
      </c>
    </row>
    <row r="33" spans="1:2" x14ac:dyDescent="0.25">
      <c r="B33" s="9" t="s">
        <v>44</v>
      </c>
    </row>
    <row r="34" spans="1:2" x14ac:dyDescent="0.25">
      <c r="B34" s="9" t="s">
        <v>45</v>
      </c>
    </row>
    <row r="35" spans="1:2" x14ac:dyDescent="0.25">
      <c r="B35" t="s">
        <v>60</v>
      </c>
    </row>
    <row r="36" spans="1:2" x14ac:dyDescent="0.25">
      <c r="A36">
        <v>17</v>
      </c>
      <c r="B36" s="7" t="s">
        <v>32</v>
      </c>
    </row>
    <row r="37" spans="1:2" x14ac:dyDescent="0.25">
      <c r="A37">
        <v>18</v>
      </c>
      <c r="B37" s="7" t="s">
        <v>92</v>
      </c>
    </row>
    <row r="38" spans="1:2" x14ac:dyDescent="0.25">
      <c r="A38">
        <v>19</v>
      </c>
      <c r="B38" s="7" t="s">
        <v>87</v>
      </c>
    </row>
    <row r="39" spans="1:2" x14ac:dyDescent="0.25">
      <c r="A39">
        <v>20</v>
      </c>
      <c r="B39" s="7" t="s">
        <v>88</v>
      </c>
    </row>
    <row r="40" spans="1:2" x14ac:dyDescent="0.25">
      <c r="A40">
        <v>21</v>
      </c>
      <c r="B40" s="7" t="s">
        <v>106</v>
      </c>
    </row>
    <row r="41" spans="1:2" x14ac:dyDescent="0.25">
      <c r="A41">
        <v>22</v>
      </c>
      <c r="B41" s="7" t="s">
        <v>90</v>
      </c>
    </row>
    <row r="42" spans="1:2" x14ac:dyDescent="0.25">
      <c r="A42">
        <v>23</v>
      </c>
      <c r="B42" s="7" t="s">
        <v>107</v>
      </c>
    </row>
    <row r="43" spans="1:2" x14ac:dyDescent="0.25">
      <c r="A43">
        <v>24</v>
      </c>
      <c r="B43" s="7" t="s">
        <v>91</v>
      </c>
    </row>
    <row r="44" spans="1:2" x14ac:dyDescent="0.25">
      <c r="A44">
        <v>25</v>
      </c>
      <c r="B44" s="7" t="s">
        <v>30</v>
      </c>
    </row>
    <row r="45" spans="1:2" x14ac:dyDescent="0.25">
      <c r="A45">
        <v>26</v>
      </c>
      <c r="B45" s="7" t="s">
        <v>31</v>
      </c>
    </row>
    <row r="46" spans="1:2" x14ac:dyDescent="0.25">
      <c r="A46">
        <v>27</v>
      </c>
      <c r="B46" s="7" t="s">
        <v>93</v>
      </c>
    </row>
    <row r="47" spans="1:2" x14ac:dyDescent="0.25">
      <c r="A47">
        <v>28</v>
      </c>
      <c r="B47" s="7" t="s">
        <v>27</v>
      </c>
    </row>
    <row r="48" spans="1:2" x14ac:dyDescent="0.25">
      <c r="A48">
        <v>29</v>
      </c>
      <c r="B48" s="7" t="s">
        <v>102</v>
      </c>
    </row>
    <row r="49" spans="1:2" x14ac:dyDescent="0.25">
      <c r="A49">
        <v>30</v>
      </c>
      <c r="B49" s="7" t="s">
        <v>116</v>
      </c>
    </row>
  </sheetData>
  <pageMargins left="0.7" right="0.7" top="0.75" bottom="0.75" header="0.3" footer="0.3"/>
  <pageSetup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I114"/>
  <sheetViews>
    <sheetView topLeftCell="A7" zoomScale="115" zoomScaleNormal="115" workbookViewId="0">
      <selection activeCell="G8" sqref="G8"/>
    </sheetView>
  </sheetViews>
  <sheetFormatPr defaultRowHeight="15" x14ac:dyDescent="0.25"/>
  <cols>
    <col min="1" max="1" width="9.7109375" customWidth="1"/>
    <col min="2" max="2" width="10.7109375" bestFit="1" customWidth="1"/>
    <col min="3" max="3" width="14.140625" customWidth="1"/>
    <col min="4" max="4" width="11.7109375" customWidth="1"/>
    <col min="5" max="5" width="12.42578125" customWidth="1"/>
    <col min="6" max="6" width="12.140625" bestFit="1" customWidth="1"/>
    <col min="7" max="7" width="10.7109375" bestFit="1" customWidth="1"/>
    <col min="8" max="8" width="14.140625" customWidth="1"/>
    <col min="9" max="9" width="11.7109375" customWidth="1"/>
    <col min="10" max="10" width="14.140625" customWidth="1"/>
    <col min="11" max="11" width="11.7109375" customWidth="1"/>
    <col min="12" max="12" width="10.7109375" customWidth="1"/>
    <col min="13" max="13" width="11.140625" customWidth="1"/>
  </cols>
  <sheetData>
    <row r="1" spans="1:9" ht="23.25" x14ac:dyDescent="0.35">
      <c r="A1" s="32" t="s">
        <v>19</v>
      </c>
      <c r="B1" s="11"/>
    </row>
    <row r="2" spans="1:9" ht="23.25" x14ac:dyDescent="0.35">
      <c r="A2" s="32" t="s">
        <v>20</v>
      </c>
      <c r="B2" s="11"/>
    </row>
    <row r="3" spans="1:9" ht="23.25" x14ac:dyDescent="0.35">
      <c r="A3" s="32" t="s">
        <v>21</v>
      </c>
      <c r="B3" s="11"/>
    </row>
    <row r="5" spans="1:9" x14ac:dyDescent="0.25">
      <c r="A5" s="6" t="s">
        <v>47</v>
      </c>
    </row>
    <row r="6" spans="1:9" x14ac:dyDescent="0.25">
      <c r="A6" s="6"/>
    </row>
    <row r="7" spans="1:9" x14ac:dyDescent="0.25">
      <c r="F7" s="28" t="s">
        <v>113</v>
      </c>
      <c r="G7" s="15">
        <v>1000</v>
      </c>
    </row>
    <row r="8" spans="1:9" x14ac:dyDescent="0.25">
      <c r="F8" s="28" t="s">
        <v>114</v>
      </c>
      <c r="G8" s="15" t="s">
        <v>103</v>
      </c>
    </row>
    <row r="10" spans="1:9" x14ac:dyDescent="0.25">
      <c r="A10" s="1" t="s">
        <v>0</v>
      </c>
      <c r="B10" s="1" t="s">
        <v>2</v>
      </c>
      <c r="C10" s="1" t="s">
        <v>3</v>
      </c>
      <c r="D10" s="1" t="s">
        <v>4</v>
      </c>
      <c r="F10" s="1" t="s">
        <v>0</v>
      </c>
      <c r="G10" s="1" t="s">
        <v>2</v>
      </c>
      <c r="H10" s="1" t="s">
        <v>3</v>
      </c>
      <c r="I10" s="1" t="s">
        <v>4</v>
      </c>
    </row>
    <row r="11" spans="1:9" x14ac:dyDescent="0.25">
      <c r="A11" s="3">
        <v>41275</v>
      </c>
      <c r="B11" s="4" t="s">
        <v>5</v>
      </c>
      <c r="C11" s="5">
        <v>1232.44</v>
      </c>
      <c r="D11" s="5">
        <v>591.58000000000004</v>
      </c>
      <c r="F11" s="3">
        <v>41275</v>
      </c>
      <c r="G11" s="4" t="s">
        <v>5</v>
      </c>
      <c r="H11" s="5">
        <v>1232.44</v>
      </c>
      <c r="I11" s="5">
        <v>591.58000000000004</v>
      </c>
    </row>
    <row r="12" spans="1:9" x14ac:dyDescent="0.25">
      <c r="A12" s="3">
        <v>41276</v>
      </c>
      <c r="B12" s="4" t="s">
        <v>7</v>
      </c>
      <c r="C12" s="5">
        <v>1000</v>
      </c>
      <c r="D12" s="5">
        <v>212.08</v>
      </c>
      <c r="F12" s="3">
        <v>41276</v>
      </c>
      <c r="G12" s="4" t="s">
        <v>7</v>
      </c>
      <c r="H12" s="5">
        <v>1000</v>
      </c>
      <c r="I12" s="5">
        <v>212.08</v>
      </c>
    </row>
    <row r="13" spans="1:9" x14ac:dyDescent="0.25">
      <c r="A13" s="3">
        <v>41276</v>
      </c>
      <c r="B13" s="4" t="s">
        <v>8</v>
      </c>
      <c r="C13" s="5">
        <v>357.5</v>
      </c>
      <c r="D13" s="5">
        <v>193.06</v>
      </c>
      <c r="F13" s="3">
        <v>41276</v>
      </c>
      <c r="G13" s="4" t="s">
        <v>8</v>
      </c>
      <c r="H13" s="5">
        <v>357.5</v>
      </c>
      <c r="I13" s="5">
        <v>193.06</v>
      </c>
    </row>
    <row r="14" spans="1:9" x14ac:dyDescent="0.25">
      <c r="A14" s="3">
        <v>41276</v>
      </c>
      <c r="B14" s="4" t="s">
        <v>9</v>
      </c>
      <c r="C14" s="5">
        <v>1957.6</v>
      </c>
      <c r="D14" s="5">
        <v>1037.55</v>
      </c>
      <c r="F14" s="3">
        <v>41276</v>
      </c>
      <c r="G14" s="4" t="s">
        <v>9</v>
      </c>
      <c r="H14" s="5">
        <v>1957.6</v>
      </c>
      <c r="I14" s="5">
        <v>1037.55</v>
      </c>
    </row>
    <row r="15" spans="1:9" x14ac:dyDescent="0.25">
      <c r="A15" s="3">
        <v>41277</v>
      </c>
      <c r="B15" s="4" t="s">
        <v>5</v>
      </c>
      <c r="C15" s="5">
        <v>561.67999999999995</v>
      </c>
      <c r="D15" s="5">
        <v>303.31</v>
      </c>
      <c r="F15" s="3">
        <v>41277</v>
      </c>
      <c r="G15" s="4" t="s">
        <v>5</v>
      </c>
      <c r="H15" s="5">
        <v>561.67999999999995</v>
      </c>
      <c r="I15" s="5">
        <v>303.31</v>
      </c>
    </row>
    <row r="16" spans="1:9" x14ac:dyDescent="0.25">
      <c r="A16" s="3">
        <v>41277</v>
      </c>
      <c r="B16" s="4" t="s">
        <v>16</v>
      </c>
      <c r="C16" s="5">
        <v>1980</v>
      </c>
      <c r="D16" s="5">
        <v>990</v>
      </c>
      <c r="F16" s="3">
        <v>41277</v>
      </c>
      <c r="G16" s="4" t="s">
        <v>16</v>
      </c>
      <c r="H16" s="5">
        <v>1980</v>
      </c>
      <c r="I16" s="5">
        <v>990</v>
      </c>
    </row>
    <row r="17" spans="1:9" x14ac:dyDescent="0.25">
      <c r="A17" s="3">
        <v>41278</v>
      </c>
      <c r="B17" s="4" t="s">
        <v>5</v>
      </c>
      <c r="C17" s="5">
        <v>2772</v>
      </c>
      <c r="D17" s="5">
        <v>1469.16</v>
      </c>
      <c r="F17" s="3">
        <v>41278</v>
      </c>
      <c r="G17" s="4" t="s">
        <v>5</v>
      </c>
      <c r="H17" s="5">
        <v>2772</v>
      </c>
      <c r="I17" s="5">
        <v>1469.16</v>
      </c>
    </row>
    <row r="18" spans="1:9" x14ac:dyDescent="0.25">
      <c r="A18" s="3">
        <v>41279</v>
      </c>
      <c r="B18" s="4" t="s">
        <v>5</v>
      </c>
      <c r="C18" s="5">
        <v>4536</v>
      </c>
      <c r="D18" s="5">
        <v>2358.7199999999998</v>
      </c>
      <c r="F18" s="3">
        <v>41279</v>
      </c>
      <c r="G18" s="4" t="s">
        <v>5</v>
      </c>
      <c r="H18" s="5">
        <v>4536</v>
      </c>
      <c r="I18" s="5">
        <v>2358.7199999999998</v>
      </c>
    </row>
    <row r="19" spans="1:9" x14ac:dyDescent="0.25">
      <c r="A19" s="3">
        <v>41279</v>
      </c>
      <c r="B19" s="4" t="s">
        <v>10</v>
      </c>
      <c r="C19" s="5">
        <v>503.1</v>
      </c>
      <c r="D19" s="5">
        <v>251.56</v>
      </c>
      <c r="F19" s="3">
        <v>41279</v>
      </c>
      <c r="G19" s="4" t="s">
        <v>10</v>
      </c>
      <c r="H19" s="5">
        <v>503.1</v>
      </c>
      <c r="I19" s="5">
        <v>251.56</v>
      </c>
    </row>
    <row r="20" spans="1:9" x14ac:dyDescent="0.25">
      <c r="A20" s="3">
        <v>41279</v>
      </c>
      <c r="B20" s="4" t="s">
        <v>112</v>
      </c>
      <c r="C20" s="5">
        <v>3938.4</v>
      </c>
      <c r="D20" s="5">
        <v>1890.4</v>
      </c>
      <c r="F20" s="3">
        <v>41279</v>
      </c>
      <c r="G20" s="4" t="s">
        <v>112</v>
      </c>
      <c r="H20" s="5">
        <v>3938.4</v>
      </c>
      <c r="I20" s="5">
        <v>1890.4</v>
      </c>
    </row>
    <row r="21" spans="1:9" x14ac:dyDescent="0.25">
      <c r="A21" s="3">
        <v>41279</v>
      </c>
      <c r="B21" s="4" t="s">
        <v>10</v>
      </c>
      <c r="C21" s="5">
        <v>464.96</v>
      </c>
      <c r="D21" s="5">
        <v>237.12</v>
      </c>
      <c r="F21" s="3">
        <v>41279</v>
      </c>
      <c r="G21" s="4" t="s">
        <v>10</v>
      </c>
      <c r="H21" s="5">
        <v>464.96</v>
      </c>
      <c r="I21" s="5">
        <v>237.12</v>
      </c>
    </row>
    <row r="62" spans="1:2" x14ac:dyDescent="0.25">
      <c r="A62" s="24" t="s">
        <v>104</v>
      </c>
    </row>
    <row r="63" spans="1:2" x14ac:dyDescent="0.25">
      <c r="A63" s="29" t="s">
        <v>3</v>
      </c>
      <c r="B63" s="29" t="s">
        <v>2</v>
      </c>
    </row>
    <row r="64" spans="1:2" x14ac:dyDescent="0.25">
      <c r="A64" s="15">
        <v>1000</v>
      </c>
      <c r="B64" s="15" t="s">
        <v>103</v>
      </c>
    </row>
    <row r="67" spans="1:6" x14ac:dyDescent="0.25">
      <c r="A67" s="1" t="s">
        <v>33</v>
      </c>
      <c r="B67" s="1" t="s">
        <v>0</v>
      </c>
      <c r="C67" s="1" t="s">
        <v>1</v>
      </c>
      <c r="D67" s="1" t="s">
        <v>2</v>
      </c>
      <c r="E67" s="1" t="s">
        <v>3</v>
      </c>
      <c r="F67" s="1" t="s">
        <v>4</v>
      </c>
    </row>
    <row r="68" spans="1:6" x14ac:dyDescent="0.25">
      <c r="A68" s="2">
        <v>659439</v>
      </c>
      <c r="B68" s="3">
        <v>41275</v>
      </c>
      <c r="C68" s="4" t="s">
        <v>34</v>
      </c>
      <c r="D68" s="4" t="s">
        <v>5</v>
      </c>
      <c r="E68" s="5">
        <v>1232.44</v>
      </c>
      <c r="F68" s="5">
        <v>591.58000000000004</v>
      </c>
    </row>
    <row r="69" spans="1:6" x14ac:dyDescent="0.25">
      <c r="A69" s="2">
        <v>659440</v>
      </c>
      <c r="B69" s="3">
        <v>41276</v>
      </c>
      <c r="C69" s="4" t="s">
        <v>6</v>
      </c>
      <c r="D69" s="4" t="s">
        <v>7</v>
      </c>
      <c r="E69" s="5">
        <v>451.2</v>
      </c>
      <c r="F69" s="5">
        <v>212.08</v>
      </c>
    </row>
    <row r="70" spans="1:6" x14ac:dyDescent="0.25">
      <c r="A70" s="2">
        <v>659440</v>
      </c>
      <c r="B70" s="3">
        <v>41276</v>
      </c>
      <c r="C70" s="4" t="s">
        <v>34</v>
      </c>
      <c r="D70" s="4" t="s">
        <v>8</v>
      </c>
      <c r="E70" s="5">
        <v>357.5</v>
      </c>
      <c r="F70" s="5">
        <v>193.06</v>
      </c>
    </row>
    <row r="71" spans="1:6" x14ac:dyDescent="0.25">
      <c r="A71" s="2">
        <v>659440</v>
      </c>
      <c r="B71" s="3">
        <v>41276</v>
      </c>
      <c r="C71" s="4" t="s">
        <v>6</v>
      </c>
      <c r="D71" s="4" t="s">
        <v>9</v>
      </c>
      <c r="E71" s="5">
        <v>1957.6</v>
      </c>
      <c r="F71" s="5">
        <v>1037.55</v>
      </c>
    </row>
    <row r="72" spans="1:6" x14ac:dyDescent="0.25">
      <c r="A72" s="2">
        <v>659441</v>
      </c>
      <c r="B72" s="3">
        <v>41277</v>
      </c>
      <c r="C72" s="4" t="s">
        <v>34</v>
      </c>
      <c r="D72" s="4" t="s">
        <v>5</v>
      </c>
      <c r="E72" s="5">
        <v>561.67999999999995</v>
      </c>
      <c r="F72" s="5">
        <v>303.31</v>
      </c>
    </row>
    <row r="73" spans="1:6" x14ac:dyDescent="0.25">
      <c r="A73" s="2">
        <v>659441</v>
      </c>
      <c r="B73" s="3">
        <v>41277</v>
      </c>
      <c r="C73" s="4" t="s">
        <v>34</v>
      </c>
      <c r="D73" s="4" t="s">
        <v>8</v>
      </c>
      <c r="E73" s="5">
        <v>1980</v>
      </c>
      <c r="F73" s="5">
        <v>990</v>
      </c>
    </row>
    <row r="74" spans="1:6" x14ac:dyDescent="0.25">
      <c r="A74" s="2">
        <v>659442</v>
      </c>
      <c r="B74" s="3">
        <v>41278</v>
      </c>
      <c r="C74" s="4" t="s">
        <v>34</v>
      </c>
      <c r="D74" s="4" t="s">
        <v>5</v>
      </c>
      <c r="E74" s="5">
        <v>2772</v>
      </c>
      <c r="F74" s="5">
        <v>1469.16</v>
      </c>
    </row>
    <row r="75" spans="1:6" x14ac:dyDescent="0.25">
      <c r="A75" s="2">
        <v>659443</v>
      </c>
      <c r="B75" s="3">
        <v>41279</v>
      </c>
      <c r="C75" s="4" t="s">
        <v>34</v>
      </c>
      <c r="D75" s="4" t="s">
        <v>5</v>
      </c>
      <c r="E75" s="5">
        <v>4536</v>
      </c>
      <c r="F75" s="5">
        <v>2358.7199999999998</v>
      </c>
    </row>
    <row r="76" spans="1:6" x14ac:dyDescent="0.25">
      <c r="A76" s="2">
        <v>659443</v>
      </c>
      <c r="B76" s="3">
        <v>41279</v>
      </c>
      <c r="C76" s="4" t="s">
        <v>34</v>
      </c>
      <c r="D76" s="4" t="s">
        <v>10</v>
      </c>
      <c r="E76" s="5">
        <v>503.1</v>
      </c>
      <c r="F76" s="5">
        <v>251.56</v>
      </c>
    </row>
    <row r="77" spans="1:6" x14ac:dyDescent="0.25">
      <c r="A77" s="2">
        <v>659444</v>
      </c>
      <c r="B77" s="3">
        <v>41279</v>
      </c>
      <c r="C77" s="4" t="s">
        <v>6</v>
      </c>
      <c r="D77" s="4" t="s">
        <v>9</v>
      </c>
      <c r="E77" s="5">
        <v>3938.4</v>
      </c>
      <c r="F77" s="5">
        <v>1890.4</v>
      </c>
    </row>
    <row r="78" spans="1:6" x14ac:dyDescent="0.25">
      <c r="A78" s="2">
        <v>659444</v>
      </c>
      <c r="B78" s="3">
        <v>41279</v>
      </c>
      <c r="C78" s="4" t="s">
        <v>34</v>
      </c>
      <c r="D78" s="4" t="s">
        <v>10</v>
      </c>
      <c r="E78" s="5">
        <v>464.96</v>
      </c>
      <c r="F78" s="5">
        <v>237.12</v>
      </c>
    </row>
    <row r="79" spans="1:6" x14ac:dyDescent="0.25">
      <c r="A79" s="2">
        <v>659445</v>
      </c>
      <c r="B79" s="3">
        <v>41279</v>
      </c>
      <c r="C79" s="4" t="s">
        <v>34</v>
      </c>
      <c r="D79" s="4" t="s">
        <v>8</v>
      </c>
      <c r="E79" s="5">
        <v>1650</v>
      </c>
      <c r="F79" s="5">
        <v>792</v>
      </c>
    </row>
    <row r="80" spans="1:6" x14ac:dyDescent="0.25">
      <c r="A80" s="2">
        <v>659445</v>
      </c>
      <c r="B80" s="3">
        <v>41279</v>
      </c>
      <c r="C80" s="4" t="s">
        <v>35</v>
      </c>
      <c r="D80" s="4" t="s">
        <v>11</v>
      </c>
      <c r="E80" s="5">
        <v>114</v>
      </c>
      <c r="F80" s="5">
        <v>55.86</v>
      </c>
    </row>
    <row r="81" spans="1:6" x14ac:dyDescent="0.25">
      <c r="A81" s="2">
        <v>659446</v>
      </c>
      <c r="B81" s="3">
        <v>41279</v>
      </c>
      <c r="C81" s="4" t="s">
        <v>35</v>
      </c>
      <c r="D81" s="4" t="s">
        <v>12</v>
      </c>
      <c r="E81" s="5">
        <v>1008.72</v>
      </c>
      <c r="F81" s="5">
        <v>504.36</v>
      </c>
    </row>
    <row r="82" spans="1:6" x14ac:dyDescent="0.25">
      <c r="A82" s="2">
        <v>659446</v>
      </c>
      <c r="B82" s="3">
        <v>41279</v>
      </c>
      <c r="C82" s="4" t="s">
        <v>35</v>
      </c>
      <c r="D82" s="4" t="s">
        <v>11</v>
      </c>
      <c r="E82" s="5">
        <v>730.2</v>
      </c>
      <c r="F82" s="5">
        <v>365.1</v>
      </c>
    </row>
    <row r="83" spans="1:6" x14ac:dyDescent="0.25">
      <c r="A83" s="2">
        <v>659446</v>
      </c>
      <c r="B83" s="3">
        <v>41279</v>
      </c>
      <c r="C83" s="4" t="s">
        <v>34</v>
      </c>
      <c r="D83" s="4" t="s">
        <v>13</v>
      </c>
      <c r="E83" s="5">
        <v>3174</v>
      </c>
      <c r="F83" s="5">
        <v>1713.96</v>
      </c>
    </row>
    <row r="84" spans="1:6" x14ac:dyDescent="0.25">
      <c r="A84" s="2">
        <v>659446</v>
      </c>
      <c r="B84" s="3">
        <v>41279</v>
      </c>
      <c r="C84" s="4" t="s">
        <v>34</v>
      </c>
      <c r="D84" s="4" t="s">
        <v>5</v>
      </c>
      <c r="E84" s="5">
        <v>2304</v>
      </c>
      <c r="F84" s="5">
        <v>1082.8800000000001</v>
      </c>
    </row>
    <row r="85" spans="1:6" x14ac:dyDescent="0.25">
      <c r="A85" s="2">
        <v>659446</v>
      </c>
      <c r="B85" s="3">
        <v>41279</v>
      </c>
      <c r="C85" s="4" t="s">
        <v>34</v>
      </c>
      <c r="D85" s="4" t="s">
        <v>5</v>
      </c>
      <c r="E85" s="5">
        <v>2744.98</v>
      </c>
      <c r="F85" s="5">
        <v>1317.61</v>
      </c>
    </row>
    <row r="86" spans="1:6" x14ac:dyDescent="0.25">
      <c r="A86" s="2">
        <v>659446</v>
      </c>
      <c r="B86" s="3">
        <v>41279</v>
      </c>
      <c r="C86" s="4" t="s">
        <v>34</v>
      </c>
      <c r="D86" s="4" t="s">
        <v>5</v>
      </c>
      <c r="E86" s="5">
        <v>3361.2</v>
      </c>
      <c r="F86" s="5">
        <v>1579.75</v>
      </c>
    </row>
    <row r="87" spans="1:6" x14ac:dyDescent="0.25">
      <c r="A87" s="2">
        <v>659447</v>
      </c>
      <c r="B87" s="3">
        <v>41279</v>
      </c>
      <c r="C87" s="4" t="s">
        <v>35</v>
      </c>
      <c r="D87" s="4" t="s">
        <v>14</v>
      </c>
      <c r="E87" s="5">
        <v>48.48</v>
      </c>
      <c r="F87" s="5">
        <v>25.2</v>
      </c>
    </row>
    <row r="88" spans="1:6" x14ac:dyDescent="0.25">
      <c r="A88" s="2">
        <v>659447</v>
      </c>
      <c r="B88" s="3">
        <v>41279</v>
      </c>
      <c r="C88" s="4" t="s">
        <v>35</v>
      </c>
      <c r="D88" s="4" t="s">
        <v>15</v>
      </c>
      <c r="E88" s="5">
        <v>1664</v>
      </c>
      <c r="F88" s="5">
        <v>881.92</v>
      </c>
    </row>
    <row r="89" spans="1:6" x14ac:dyDescent="0.25">
      <c r="A89" s="2">
        <v>659448</v>
      </c>
      <c r="B89" s="3">
        <v>41280</v>
      </c>
      <c r="C89" s="4" t="s">
        <v>35</v>
      </c>
      <c r="D89" s="4" t="s">
        <v>11</v>
      </c>
      <c r="E89" s="5">
        <v>670.4</v>
      </c>
      <c r="F89" s="5">
        <v>355.28</v>
      </c>
    </row>
    <row r="90" spans="1:6" x14ac:dyDescent="0.25">
      <c r="A90" s="2">
        <v>659449</v>
      </c>
      <c r="B90" s="3">
        <v>41281</v>
      </c>
      <c r="C90" s="4" t="s">
        <v>34</v>
      </c>
      <c r="D90" s="4" t="s">
        <v>13</v>
      </c>
      <c r="E90" s="5">
        <v>611.41999999999996</v>
      </c>
      <c r="F90" s="5">
        <v>324.06</v>
      </c>
    </row>
    <row r="91" spans="1:6" x14ac:dyDescent="0.25">
      <c r="A91" s="2">
        <v>659450</v>
      </c>
      <c r="B91" s="3">
        <v>41282</v>
      </c>
      <c r="C91" s="4" t="s">
        <v>34</v>
      </c>
      <c r="D91" s="4" t="s">
        <v>5</v>
      </c>
      <c r="E91" s="5">
        <v>962.88</v>
      </c>
      <c r="F91" s="5">
        <v>510.32</v>
      </c>
    </row>
    <row r="92" spans="1:6" x14ac:dyDescent="0.25">
      <c r="A92" s="2">
        <v>659451</v>
      </c>
      <c r="B92" s="3">
        <v>41283</v>
      </c>
      <c r="C92" s="4" t="s">
        <v>6</v>
      </c>
      <c r="D92" s="4" t="s">
        <v>7</v>
      </c>
      <c r="E92" s="5">
        <v>203.04</v>
      </c>
      <c r="F92" s="5">
        <v>95.4</v>
      </c>
    </row>
    <row r="93" spans="1:6" x14ac:dyDescent="0.25">
      <c r="A93" s="2">
        <v>659451</v>
      </c>
      <c r="B93" s="3">
        <v>41283</v>
      </c>
      <c r="C93" s="4" t="s">
        <v>6</v>
      </c>
      <c r="D93" s="4" t="s">
        <v>16</v>
      </c>
      <c r="E93" s="5">
        <v>256.2</v>
      </c>
      <c r="F93" s="5">
        <v>140.9</v>
      </c>
    </row>
    <row r="94" spans="1:6" x14ac:dyDescent="0.25">
      <c r="A94" s="2">
        <v>659452</v>
      </c>
      <c r="B94" s="3">
        <v>41284</v>
      </c>
      <c r="C94" s="4" t="s">
        <v>35</v>
      </c>
      <c r="D94" s="4" t="s">
        <v>14</v>
      </c>
      <c r="E94" s="5">
        <v>1360</v>
      </c>
      <c r="F94" s="5">
        <v>639.20000000000005</v>
      </c>
    </row>
    <row r="95" spans="1:6" x14ac:dyDescent="0.25">
      <c r="A95" s="2">
        <v>659453</v>
      </c>
      <c r="B95" s="3">
        <v>41284</v>
      </c>
      <c r="C95" s="4" t="s">
        <v>6</v>
      </c>
      <c r="D95" s="4" t="s">
        <v>17</v>
      </c>
      <c r="E95" s="5">
        <v>4309.2</v>
      </c>
      <c r="F95" s="5">
        <v>2326.9499999999998</v>
      </c>
    </row>
    <row r="96" spans="1:6" x14ac:dyDescent="0.25">
      <c r="A96" s="2">
        <v>659453</v>
      </c>
      <c r="B96" s="3">
        <v>41284</v>
      </c>
      <c r="C96" s="4" t="s">
        <v>6</v>
      </c>
      <c r="D96" s="4" t="s">
        <v>7</v>
      </c>
      <c r="E96" s="5">
        <v>241.28</v>
      </c>
      <c r="F96" s="5">
        <v>132.72</v>
      </c>
    </row>
    <row r="97" spans="1:6" x14ac:dyDescent="0.25">
      <c r="A97" s="2">
        <v>659454</v>
      </c>
      <c r="B97" s="3">
        <v>41285</v>
      </c>
      <c r="C97" s="4" t="s">
        <v>35</v>
      </c>
      <c r="D97" s="4" t="s">
        <v>12</v>
      </c>
      <c r="E97" s="5">
        <v>1672</v>
      </c>
      <c r="F97" s="5">
        <v>819.28</v>
      </c>
    </row>
    <row r="98" spans="1:6" x14ac:dyDescent="0.25">
      <c r="A98" s="2">
        <v>659455</v>
      </c>
      <c r="B98" s="3">
        <v>41285</v>
      </c>
      <c r="C98" s="4" t="s">
        <v>34</v>
      </c>
      <c r="D98" s="4" t="s">
        <v>10</v>
      </c>
      <c r="E98" s="5">
        <v>2631.6</v>
      </c>
      <c r="F98" s="5">
        <v>1421.04</v>
      </c>
    </row>
    <row r="99" spans="1:6" x14ac:dyDescent="0.25">
      <c r="A99" s="2">
        <v>659455</v>
      </c>
      <c r="B99" s="3">
        <v>41285</v>
      </c>
      <c r="C99" s="4" t="s">
        <v>35</v>
      </c>
      <c r="D99" s="4" t="s">
        <v>11</v>
      </c>
      <c r="E99" s="5">
        <v>368.72</v>
      </c>
      <c r="F99" s="5">
        <v>188.04</v>
      </c>
    </row>
    <row r="100" spans="1:6" x14ac:dyDescent="0.25">
      <c r="A100" s="2">
        <v>659455</v>
      </c>
      <c r="B100" s="3">
        <v>41285</v>
      </c>
      <c r="C100" s="4" t="s">
        <v>35</v>
      </c>
      <c r="D100" s="4" t="s">
        <v>14</v>
      </c>
      <c r="E100" s="5">
        <v>1632</v>
      </c>
      <c r="F100" s="5">
        <v>767.04</v>
      </c>
    </row>
    <row r="101" spans="1:6" x14ac:dyDescent="0.25">
      <c r="A101" s="2">
        <v>659455</v>
      </c>
      <c r="B101" s="3">
        <v>41285</v>
      </c>
      <c r="C101" s="4" t="s">
        <v>35</v>
      </c>
      <c r="D101" s="4" t="s">
        <v>11</v>
      </c>
      <c r="E101" s="5">
        <v>670.4</v>
      </c>
      <c r="F101" s="5">
        <v>341.92</v>
      </c>
    </row>
    <row r="102" spans="1:6" x14ac:dyDescent="0.25">
      <c r="A102" s="2">
        <v>659455</v>
      </c>
      <c r="B102" s="3">
        <v>41285</v>
      </c>
      <c r="C102" s="4" t="s">
        <v>6</v>
      </c>
      <c r="D102" s="4" t="s">
        <v>16</v>
      </c>
      <c r="E102" s="5">
        <v>39.04</v>
      </c>
      <c r="F102" s="5">
        <v>19.52</v>
      </c>
    </row>
    <row r="103" spans="1:6" x14ac:dyDescent="0.25">
      <c r="A103" s="2">
        <v>659455</v>
      </c>
      <c r="B103" s="3">
        <v>41285</v>
      </c>
      <c r="C103" s="4" t="s">
        <v>6</v>
      </c>
      <c r="D103" s="4" t="s">
        <v>7</v>
      </c>
      <c r="E103" s="5">
        <v>394.8</v>
      </c>
      <c r="F103" s="5">
        <v>197.4</v>
      </c>
    </row>
    <row r="104" spans="1:6" x14ac:dyDescent="0.25">
      <c r="A104" s="2">
        <v>659455</v>
      </c>
      <c r="B104" s="3">
        <v>41285</v>
      </c>
      <c r="C104" s="4" t="s">
        <v>35</v>
      </c>
      <c r="D104" s="4" t="s">
        <v>11</v>
      </c>
      <c r="E104" s="5">
        <v>219.06</v>
      </c>
      <c r="F104" s="5">
        <v>118.3</v>
      </c>
    </row>
    <row r="105" spans="1:6" x14ac:dyDescent="0.25">
      <c r="A105" s="2">
        <v>659455</v>
      </c>
      <c r="B105" s="3">
        <v>41285</v>
      </c>
      <c r="C105" s="4" t="s">
        <v>34</v>
      </c>
      <c r="D105" s="4" t="s">
        <v>5</v>
      </c>
      <c r="E105" s="5">
        <v>200.6</v>
      </c>
      <c r="F105" s="5">
        <v>106.32</v>
      </c>
    </row>
    <row r="106" spans="1:6" x14ac:dyDescent="0.25">
      <c r="A106" s="2">
        <v>659456</v>
      </c>
      <c r="B106" s="3">
        <v>41286</v>
      </c>
      <c r="C106" s="4" t="s">
        <v>34</v>
      </c>
      <c r="D106" s="4" t="s">
        <v>13</v>
      </c>
      <c r="E106" s="5">
        <v>1150</v>
      </c>
      <c r="F106" s="5">
        <v>552</v>
      </c>
    </row>
    <row r="107" spans="1:6" x14ac:dyDescent="0.25">
      <c r="A107" s="2">
        <v>659456</v>
      </c>
      <c r="B107" s="3">
        <v>41286</v>
      </c>
      <c r="C107" s="4" t="s">
        <v>35</v>
      </c>
      <c r="D107" s="4" t="s">
        <v>12</v>
      </c>
      <c r="E107" s="5">
        <v>495</v>
      </c>
      <c r="F107" s="5">
        <v>237.6</v>
      </c>
    </row>
    <row r="108" spans="1:6" x14ac:dyDescent="0.25">
      <c r="A108" s="2">
        <v>659456</v>
      </c>
      <c r="B108" s="3">
        <v>41286</v>
      </c>
      <c r="C108" s="4" t="s">
        <v>6</v>
      </c>
      <c r="D108" s="4" t="s">
        <v>16</v>
      </c>
      <c r="E108" s="5">
        <v>51.24</v>
      </c>
      <c r="F108" s="5">
        <v>27.16</v>
      </c>
    </row>
    <row r="109" spans="1:6" x14ac:dyDescent="0.25">
      <c r="A109" s="2">
        <v>659457</v>
      </c>
      <c r="B109" s="3">
        <v>41286</v>
      </c>
      <c r="C109" s="4" t="s">
        <v>6</v>
      </c>
      <c r="D109" s="4" t="s">
        <v>16</v>
      </c>
      <c r="E109" s="5">
        <v>40.26</v>
      </c>
      <c r="F109" s="5">
        <v>21.33</v>
      </c>
    </row>
    <row r="110" spans="1:6" x14ac:dyDescent="0.25">
      <c r="A110" s="2">
        <v>659457</v>
      </c>
      <c r="B110" s="3">
        <v>41286</v>
      </c>
      <c r="C110" s="4" t="s">
        <v>35</v>
      </c>
      <c r="D110" s="4" t="s">
        <v>14</v>
      </c>
      <c r="E110" s="5">
        <v>60.6</v>
      </c>
      <c r="F110" s="5">
        <v>28.5</v>
      </c>
    </row>
    <row r="111" spans="1:6" x14ac:dyDescent="0.25">
      <c r="A111" s="2">
        <v>659457</v>
      </c>
      <c r="B111" s="3">
        <v>41286</v>
      </c>
      <c r="C111" s="4" t="s">
        <v>35</v>
      </c>
      <c r="D111" s="4" t="s">
        <v>11</v>
      </c>
      <c r="E111" s="5">
        <v>2394</v>
      </c>
      <c r="F111" s="5">
        <v>1292.76</v>
      </c>
    </row>
    <row r="112" spans="1:6" x14ac:dyDescent="0.25">
      <c r="A112" s="2">
        <v>659458</v>
      </c>
      <c r="B112" s="3">
        <v>41287</v>
      </c>
      <c r="C112" s="4" t="s">
        <v>6</v>
      </c>
      <c r="D112" s="4" t="s">
        <v>16</v>
      </c>
      <c r="E112" s="5">
        <v>207.36</v>
      </c>
      <c r="F112" s="5">
        <v>107.82</v>
      </c>
    </row>
    <row r="113" spans="1:6" x14ac:dyDescent="0.25">
      <c r="A113" s="2">
        <v>659458</v>
      </c>
      <c r="B113" s="3">
        <v>41287</v>
      </c>
      <c r="C113" s="4" t="s">
        <v>6</v>
      </c>
      <c r="D113" s="4" t="s">
        <v>17</v>
      </c>
      <c r="E113" s="5">
        <v>1316.7</v>
      </c>
      <c r="F113" s="5">
        <v>618.84</v>
      </c>
    </row>
    <row r="114" spans="1:6" x14ac:dyDescent="0.25">
      <c r="A114" s="2">
        <v>659459</v>
      </c>
      <c r="B114" s="3">
        <v>41288</v>
      </c>
      <c r="C114" s="4" t="s">
        <v>6</v>
      </c>
      <c r="D114" s="4" t="s">
        <v>16</v>
      </c>
      <c r="E114" s="5">
        <v>183</v>
      </c>
      <c r="F114" s="5">
        <v>95.2</v>
      </c>
    </row>
  </sheetData>
  <conditionalFormatting sqref="C11:C21">
    <cfRule type="cellIs" dxfId="19" priority="4" operator="greaterThan">
      <formula>1000</formula>
    </cfRule>
  </conditionalFormatting>
  <conditionalFormatting sqref="B11:B21">
    <cfRule type="containsText" dxfId="18" priority="3" operator="containsText" text="Fun">
      <formula>NOT(ISERROR(SEARCH("Fun",B11)))</formula>
    </cfRule>
  </conditionalFormatting>
  <conditionalFormatting sqref="H11:H21">
    <cfRule type="cellIs" dxfId="17" priority="2" operator="greaterThan">
      <formula>$G$7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A0BD823-E53D-40D4-BF6F-68099A3B4D8C}">
            <xm:f>NOT(ISERROR(SEARCH($G$8,G11)))</xm:f>
            <xm:f>$G$8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G11:G21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I15"/>
  <sheetViews>
    <sheetView zoomScale="115" zoomScaleNormal="115" workbookViewId="0">
      <selection activeCell="H5" sqref="H5:H15"/>
    </sheetView>
  </sheetViews>
  <sheetFormatPr defaultRowHeight="15" x14ac:dyDescent="0.25"/>
  <cols>
    <col min="1" max="1" width="9.7109375" customWidth="1"/>
    <col min="2" max="2" width="10.7109375" bestFit="1" customWidth="1"/>
    <col min="3" max="3" width="14.140625" customWidth="1"/>
    <col min="4" max="4" width="11.7109375" customWidth="1"/>
    <col min="5" max="5" width="12.42578125" customWidth="1"/>
    <col min="6" max="6" width="12.140625" bestFit="1" customWidth="1"/>
    <col min="7" max="7" width="10.7109375" bestFit="1" customWidth="1"/>
    <col min="8" max="8" width="14.140625" customWidth="1"/>
    <col min="9" max="9" width="11.7109375" customWidth="1"/>
  </cols>
  <sheetData>
    <row r="1" spans="1:9" x14ac:dyDescent="0.25">
      <c r="A1" s="6" t="s">
        <v>23</v>
      </c>
    </row>
    <row r="2" spans="1:9" x14ac:dyDescent="0.25">
      <c r="A2" t="s">
        <v>46</v>
      </c>
      <c r="H2" t="s">
        <v>49</v>
      </c>
    </row>
    <row r="4" spans="1:9" x14ac:dyDescent="0.25">
      <c r="A4" s="1" t="s">
        <v>0</v>
      </c>
      <c r="B4" s="1" t="s">
        <v>2</v>
      </c>
      <c r="C4" s="1" t="s">
        <v>3</v>
      </c>
      <c r="D4" s="1" t="s">
        <v>4</v>
      </c>
      <c r="F4" s="1" t="s">
        <v>0</v>
      </c>
      <c r="G4" s="1" t="s">
        <v>2</v>
      </c>
      <c r="H4" s="1" t="s">
        <v>3</v>
      </c>
      <c r="I4" s="1" t="s">
        <v>4</v>
      </c>
    </row>
    <row r="5" spans="1:9" x14ac:dyDescent="0.25">
      <c r="A5" s="3">
        <v>41275</v>
      </c>
      <c r="B5" s="4" t="s">
        <v>5</v>
      </c>
      <c r="C5" s="5">
        <v>1232.44</v>
      </c>
      <c r="D5" s="5">
        <v>591.58000000000004</v>
      </c>
      <c r="F5" s="3">
        <v>41275</v>
      </c>
      <c r="G5" s="4" t="s">
        <v>5</v>
      </c>
      <c r="H5" s="5">
        <v>1232.44</v>
      </c>
      <c r="I5" s="5">
        <v>591.58000000000004</v>
      </c>
    </row>
    <row r="6" spans="1:9" x14ac:dyDescent="0.25">
      <c r="A6" s="3">
        <v>41276</v>
      </c>
      <c r="B6" s="4" t="s">
        <v>7</v>
      </c>
      <c r="C6" s="5">
        <v>1000</v>
      </c>
      <c r="D6" s="5">
        <v>212.08</v>
      </c>
      <c r="F6" s="3">
        <v>41276</v>
      </c>
      <c r="G6" s="4" t="s">
        <v>7</v>
      </c>
      <c r="H6" s="5">
        <v>1000</v>
      </c>
      <c r="I6" s="5">
        <v>212.08</v>
      </c>
    </row>
    <row r="7" spans="1:9" x14ac:dyDescent="0.25">
      <c r="A7" s="3">
        <v>41276</v>
      </c>
      <c r="B7" s="4" t="s">
        <v>8</v>
      </c>
      <c r="C7" s="5">
        <v>357.5</v>
      </c>
      <c r="D7" s="5">
        <v>193.06</v>
      </c>
      <c r="F7" s="3">
        <v>41276</v>
      </c>
      <c r="G7" s="4" t="s">
        <v>8</v>
      </c>
      <c r="H7" s="5">
        <v>357.5</v>
      </c>
      <c r="I7" s="5">
        <v>193.06</v>
      </c>
    </row>
    <row r="8" spans="1:9" x14ac:dyDescent="0.25">
      <c r="A8" s="3">
        <v>41276</v>
      </c>
      <c r="B8" s="4" t="s">
        <v>9</v>
      </c>
      <c r="C8" s="5">
        <v>1957.6</v>
      </c>
      <c r="D8" s="5">
        <v>1037.55</v>
      </c>
      <c r="F8" s="3">
        <v>41276</v>
      </c>
      <c r="G8" s="4" t="s">
        <v>9</v>
      </c>
      <c r="H8" s="5">
        <v>1957.6</v>
      </c>
      <c r="I8" s="5">
        <v>1037.55</v>
      </c>
    </row>
    <row r="9" spans="1:9" x14ac:dyDescent="0.25">
      <c r="A9" s="3">
        <v>41277</v>
      </c>
      <c r="B9" s="4" t="s">
        <v>5</v>
      </c>
      <c r="C9" s="5">
        <v>561.67999999999995</v>
      </c>
      <c r="D9" s="5">
        <v>303.31</v>
      </c>
      <c r="F9" s="3">
        <v>41277</v>
      </c>
      <c r="G9" s="4" t="s">
        <v>5</v>
      </c>
      <c r="H9" s="5">
        <v>561.67999999999995</v>
      </c>
      <c r="I9" s="5">
        <v>303.31</v>
      </c>
    </row>
    <row r="10" spans="1:9" x14ac:dyDescent="0.25">
      <c r="A10" s="3">
        <v>41277</v>
      </c>
      <c r="B10" s="4" t="s">
        <v>16</v>
      </c>
      <c r="C10" s="5">
        <v>1980</v>
      </c>
      <c r="D10" s="5">
        <v>990</v>
      </c>
      <c r="F10" s="3">
        <v>41277</v>
      </c>
      <c r="G10" s="4" t="s">
        <v>16</v>
      </c>
      <c r="H10" s="5">
        <v>1980</v>
      </c>
      <c r="I10" s="5">
        <v>990</v>
      </c>
    </row>
    <row r="11" spans="1:9" x14ac:dyDescent="0.25">
      <c r="A11" s="3">
        <v>41278</v>
      </c>
      <c r="B11" s="4" t="s">
        <v>5</v>
      </c>
      <c r="C11" s="5">
        <v>2772</v>
      </c>
      <c r="D11" s="5">
        <v>1469.16</v>
      </c>
      <c r="F11" s="3">
        <v>41278</v>
      </c>
      <c r="G11" s="4" t="s">
        <v>5</v>
      </c>
      <c r="H11" s="5">
        <v>2772</v>
      </c>
      <c r="I11" s="5">
        <v>1469.16</v>
      </c>
    </row>
    <row r="12" spans="1:9" x14ac:dyDescent="0.25">
      <c r="A12" s="3">
        <v>41279</v>
      </c>
      <c r="B12" s="4" t="s">
        <v>5</v>
      </c>
      <c r="C12" s="5">
        <v>4536</v>
      </c>
      <c r="D12" s="5">
        <v>2358.7199999999998</v>
      </c>
      <c r="F12" s="3">
        <v>41279</v>
      </c>
      <c r="G12" s="4" t="s">
        <v>5</v>
      </c>
      <c r="H12" s="5">
        <v>4536</v>
      </c>
      <c r="I12" s="5">
        <v>2358.7199999999998</v>
      </c>
    </row>
    <row r="13" spans="1:9" x14ac:dyDescent="0.25">
      <c r="A13" s="3">
        <v>41279</v>
      </c>
      <c r="B13" s="4" t="s">
        <v>10</v>
      </c>
      <c r="C13" s="5">
        <v>503.1</v>
      </c>
      <c r="D13" s="5">
        <v>251.56</v>
      </c>
      <c r="F13" s="3">
        <v>41279</v>
      </c>
      <c r="G13" s="4" t="s">
        <v>10</v>
      </c>
      <c r="H13" s="5">
        <v>503.1</v>
      </c>
      <c r="I13" s="5">
        <v>251.56</v>
      </c>
    </row>
    <row r="14" spans="1:9" x14ac:dyDescent="0.25">
      <c r="A14" s="3">
        <v>41279</v>
      </c>
      <c r="B14" s="4" t="s">
        <v>112</v>
      </c>
      <c r="C14" s="5">
        <v>3938.4</v>
      </c>
      <c r="D14" s="5">
        <v>1890.4</v>
      </c>
      <c r="F14" s="3">
        <v>41279</v>
      </c>
      <c r="G14" s="4" t="s">
        <v>112</v>
      </c>
      <c r="H14" s="5">
        <v>3938.4</v>
      </c>
      <c r="I14" s="5">
        <v>1890.4</v>
      </c>
    </row>
    <row r="15" spans="1:9" x14ac:dyDescent="0.25">
      <c r="A15" s="3">
        <v>41279</v>
      </c>
      <c r="B15" s="4" t="s">
        <v>10</v>
      </c>
      <c r="C15" s="5">
        <v>464.96</v>
      </c>
      <c r="D15" s="5">
        <v>237.12</v>
      </c>
      <c r="F15" s="3">
        <v>41279</v>
      </c>
      <c r="G15" s="4" t="s">
        <v>10</v>
      </c>
      <c r="H15" s="5">
        <v>464.96</v>
      </c>
      <c r="I15" s="5">
        <v>237.12</v>
      </c>
    </row>
  </sheetData>
  <conditionalFormatting sqref="E5:E15">
    <cfRule type="top10" dxfId="15" priority="3" rank="3"/>
  </conditionalFormatting>
  <conditionalFormatting sqref="C5:C15">
    <cfRule type="top10" dxfId="14" priority="2" rank="3"/>
  </conditionalFormatting>
  <conditionalFormatting sqref="H5:H15">
    <cfRule type="aboveAverage" dxfId="1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00FF"/>
  </sheetPr>
  <dimension ref="A1:H15"/>
  <sheetViews>
    <sheetView zoomScale="130" zoomScaleNormal="130" workbookViewId="0">
      <selection activeCell="G6" sqref="G6:G15"/>
    </sheetView>
  </sheetViews>
  <sheetFormatPr defaultRowHeight="15" x14ac:dyDescent="0.25"/>
  <sheetData>
    <row r="1" spans="1:8" x14ac:dyDescent="0.25">
      <c r="A1" s="6" t="s">
        <v>29</v>
      </c>
    </row>
    <row r="2" spans="1:8" x14ac:dyDescent="0.25">
      <c r="A2" s="8" t="s">
        <v>53</v>
      </c>
    </row>
    <row r="3" spans="1:8" x14ac:dyDescent="0.25">
      <c r="A3" s="8" t="s">
        <v>52</v>
      </c>
    </row>
    <row r="4" spans="1:8" x14ac:dyDescent="0.25">
      <c r="A4" s="8"/>
    </row>
    <row r="5" spans="1:8" x14ac:dyDescent="0.25">
      <c r="A5" s="6" t="s">
        <v>50</v>
      </c>
      <c r="D5" s="6" t="s">
        <v>50</v>
      </c>
      <c r="E5" s="6" t="s">
        <v>51</v>
      </c>
      <c r="G5" s="6" t="s">
        <v>50</v>
      </c>
      <c r="H5" s="6" t="s">
        <v>51</v>
      </c>
    </row>
    <row r="6" spans="1:8" x14ac:dyDescent="0.25">
      <c r="A6">
        <v>19</v>
      </c>
      <c r="D6">
        <v>19</v>
      </c>
      <c r="E6">
        <f t="shared" ref="E6:E15" si="0">D6</f>
        <v>19</v>
      </c>
      <c r="G6">
        <f t="shared" ref="G6:G15" ca="1" si="1">RANDBETWEEN(0,100)</f>
        <v>97</v>
      </c>
      <c r="H6">
        <f t="shared" ref="H6:H15" ca="1" si="2">G6</f>
        <v>97</v>
      </c>
    </row>
    <row r="7" spans="1:8" x14ac:dyDescent="0.25">
      <c r="A7">
        <v>76</v>
      </c>
      <c r="D7">
        <v>76</v>
      </c>
      <c r="E7">
        <f t="shared" si="0"/>
        <v>76</v>
      </c>
      <c r="G7">
        <f t="shared" ca="1" si="1"/>
        <v>27</v>
      </c>
      <c r="H7">
        <f t="shared" ca="1" si="2"/>
        <v>27</v>
      </c>
    </row>
    <row r="8" spans="1:8" x14ac:dyDescent="0.25">
      <c r="A8">
        <v>23</v>
      </c>
      <c r="D8">
        <v>23</v>
      </c>
      <c r="E8">
        <f t="shared" si="0"/>
        <v>23</v>
      </c>
      <c r="G8">
        <f t="shared" ca="1" si="1"/>
        <v>7</v>
      </c>
      <c r="H8">
        <f t="shared" ca="1" si="2"/>
        <v>7</v>
      </c>
    </row>
    <row r="9" spans="1:8" x14ac:dyDescent="0.25">
      <c r="A9">
        <v>92</v>
      </c>
      <c r="D9">
        <v>92</v>
      </c>
      <c r="E9">
        <f t="shared" si="0"/>
        <v>92</v>
      </c>
      <c r="G9">
        <f t="shared" ca="1" si="1"/>
        <v>2</v>
      </c>
      <c r="H9">
        <f t="shared" ca="1" si="2"/>
        <v>2</v>
      </c>
    </row>
    <row r="10" spans="1:8" x14ac:dyDescent="0.25">
      <c r="A10">
        <v>73</v>
      </c>
      <c r="D10">
        <v>73</v>
      </c>
      <c r="E10">
        <f t="shared" si="0"/>
        <v>73</v>
      </c>
      <c r="G10">
        <f t="shared" ca="1" si="1"/>
        <v>100</v>
      </c>
      <c r="H10">
        <f t="shared" ca="1" si="2"/>
        <v>100</v>
      </c>
    </row>
    <row r="11" spans="1:8" x14ac:dyDescent="0.25">
      <c r="A11">
        <v>92</v>
      </c>
      <c r="D11">
        <v>92</v>
      </c>
      <c r="E11">
        <f t="shared" si="0"/>
        <v>92</v>
      </c>
      <c r="G11">
        <f t="shared" ca="1" si="1"/>
        <v>47</v>
      </c>
      <c r="H11">
        <f t="shared" ca="1" si="2"/>
        <v>47</v>
      </c>
    </row>
    <row r="12" spans="1:8" x14ac:dyDescent="0.25">
      <c r="A12">
        <v>36</v>
      </c>
      <c r="D12">
        <v>36</v>
      </c>
      <c r="E12">
        <f t="shared" si="0"/>
        <v>36</v>
      </c>
      <c r="G12">
        <f t="shared" ca="1" si="1"/>
        <v>16</v>
      </c>
      <c r="H12">
        <f t="shared" ca="1" si="2"/>
        <v>16</v>
      </c>
    </row>
    <row r="13" spans="1:8" x14ac:dyDescent="0.25">
      <c r="A13">
        <v>59</v>
      </c>
      <c r="D13">
        <v>59</v>
      </c>
      <c r="E13">
        <f t="shared" si="0"/>
        <v>59</v>
      </c>
      <c r="G13">
        <f t="shared" ca="1" si="1"/>
        <v>22</v>
      </c>
      <c r="H13">
        <f t="shared" ca="1" si="2"/>
        <v>22</v>
      </c>
    </row>
    <row r="14" spans="1:8" x14ac:dyDescent="0.25">
      <c r="A14">
        <v>81</v>
      </c>
      <c r="D14">
        <v>81</v>
      </c>
      <c r="E14">
        <f t="shared" si="0"/>
        <v>81</v>
      </c>
      <c r="G14">
        <f t="shared" ca="1" si="1"/>
        <v>4</v>
      </c>
      <c r="H14">
        <f t="shared" ca="1" si="2"/>
        <v>4</v>
      </c>
    </row>
    <row r="15" spans="1:8" x14ac:dyDescent="0.25">
      <c r="A15">
        <v>98</v>
      </c>
      <c r="D15">
        <v>98</v>
      </c>
      <c r="E15">
        <f t="shared" si="0"/>
        <v>98</v>
      </c>
      <c r="G15">
        <f t="shared" ca="1" si="1"/>
        <v>97</v>
      </c>
      <c r="H15">
        <f t="shared" ca="1" si="2"/>
        <v>97</v>
      </c>
    </row>
  </sheetData>
  <conditionalFormatting sqref="A6:A15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{739B8B3C-460F-43D3-ABFD-839F5C207C08}</x14:id>
        </ext>
      </extLst>
    </cfRule>
  </conditionalFormatting>
  <conditionalFormatting sqref="E6:E15">
    <cfRule type="dataBar" priority="2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{25C200AA-BD92-483A-A645-2713289E75D0}</x14:id>
        </ext>
      </extLst>
    </cfRule>
  </conditionalFormatting>
  <conditionalFormatting sqref="H6:H15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{A69FC773-FBB1-433A-A91B-7E66290B3907}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9B8B3C-460F-43D3-ABFD-839F5C207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A6:A15</xm:sqref>
        </x14:conditionalFormatting>
        <x14:conditionalFormatting xmlns:xm="http://schemas.microsoft.com/office/excel/2006/main">
          <x14:cfRule type="dataBar" id="{25C200AA-BD92-483A-A645-2713289E75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E6:E15</xm:sqref>
        </x14:conditionalFormatting>
        <x14:conditionalFormatting xmlns:xm="http://schemas.microsoft.com/office/excel/2006/main">
          <x14:cfRule type="dataBar" id="{A69FC773-FBB1-433A-A91B-7E66290B39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H6:H15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J13"/>
  <sheetViews>
    <sheetView zoomScaleNormal="100" workbookViewId="0">
      <selection activeCell="C3" sqref="C3"/>
    </sheetView>
  </sheetViews>
  <sheetFormatPr defaultRowHeight="15" x14ac:dyDescent="0.25"/>
  <sheetData>
    <row r="1" spans="1:10" x14ac:dyDescent="0.25">
      <c r="A1" s="6" t="s">
        <v>54</v>
      </c>
    </row>
    <row r="3" spans="1:10" x14ac:dyDescent="0.25">
      <c r="A3" s="6" t="s">
        <v>50</v>
      </c>
    </row>
    <row r="4" spans="1:10" x14ac:dyDescent="0.25">
      <c r="A4">
        <v>19</v>
      </c>
      <c r="D4">
        <f t="shared" ref="D4:J12" ca="1" si="0">RAND()</f>
        <v>0.45338697752004953</v>
      </c>
      <c r="E4">
        <f t="shared" ca="1" si="0"/>
        <v>0.19089419133614427</v>
      </c>
      <c r="F4">
        <f t="shared" ca="1" si="0"/>
        <v>0.1862420425974779</v>
      </c>
      <c r="G4">
        <f t="shared" ca="1" si="0"/>
        <v>4.3474764463544258E-2</v>
      </c>
      <c r="H4">
        <f t="shared" ca="1" si="0"/>
        <v>0.97860412055448442</v>
      </c>
      <c r="I4">
        <f t="shared" ca="1" si="0"/>
        <v>0.85789729959316219</v>
      </c>
      <c r="J4">
        <f t="shared" ca="1" si="0"/>
        <v>0.25837392513493063</v>
      </c>
    </row>
    <row r="5" spans="1:10" x14ac:dyDescent="0.25">
      <c r="A5">
        <v>76</v>
      </c>
      <c r="D5">
        <f t="shared" ca="1" si="0"/>
        <v>0.68970056680767333</v>
      </c>
      <c r="E5">
        <f t="shared" ca="1" si="0"/>
        <v>0.27956416088799296</v>
      </c>
      <c r="F5">
        <f t="shared" ca="1" si="0"/>
        <v>0.35869239797988761</v>
      </c>
      <c r="G5">
        <f t="shared" ca="1" si="0"/>
        <v>0.87641266791536265</v>
      </c>
      <c r="H5">
        <f t="shared" ca="1" si="0"/>
        <v>6.1498807987698467E-2</v>
      </c>
      <c r="I5">
        <f t="shared" ca="1" si="0"/>
        <v>9.166543455441889E-2</v>
      </c>
      <c r="J5">
        <f t="shared" ca="1" si="0"/>
        <v>0.94331947092234547</v>
      </c>
    </row>
    <row r="6" spans="1:10" x14ac:dyDescent="0.25">
      <c r="A6">
        <v>23</v>
      </c>
      <c r="D6">
        <f t="shared" ca="1" si="0"/>
        <v>0.31537413299129435</v>
      </c>
      <c r="E6">
        <f t="shared" ca="1" si="0"/>
        <v>8.6503887133754342E-2</v>
      </c>
      <c r="F6">
        <f t="shared" ca="1" si="0"/>
        <v>0.77766150868305528</v>
      </c>
      <c r="G6">
        <f t="shared" ca="1" si="0"/>
        <v>0.70842285079360801</v>
      </c>
      <c r="H6">
        <f t="shared" ca="1" si="0"/>
        <v>0.11003706154680559</v>
      </c>
      <c r="I6">
        <f t="shared" ca="1" si="0"/>
        <v>0.38755568703001053</v>
      </c>
      <c r="J6">
        <f t="shared" ca="1" si="0"/>
        <v>0.62059414802011437</v>
      </c>
    </row>
    <row r="7" spans="1:10" x14ac:dyDescent="0.25">
      <c r="A7">
        <v>92</v>
      </c>
      <c r="D7">
        <f t="shared" ca="1" si="0"/>
        <v>0.7708962389027616</v>
      </c>
      <c r="E7">
        <f t="shared" ca="1" si="0"/>
        <v>0.71745030890462436</v>
      </c>
      <c r="F7">
        <f t="shared" ca="1" si="0"/>
        <v>0.86030452428934545</v>
      </c>
      <c r="G7">
        <f t="shared" ca="1" si="0"/>
        <v>2.0523178759461858E-2</v>
      </c>
      <c r="H7">
        <f t="shared" ca="1" si="0"/>
        <v>0.76701158147100135</v>
      </c>
      <c r="I7">
        <f t="shared" ca="1" si="0"/>
        <v>0.33685596533903639</v>
      </c>
      <c r="J7">
        <f t="shared" ca="1" si="0"/>
        <v>0.89522576125212638</v>
      </c>
    </row>
    <row r="8" spans="1:10" x14ac:dyDescent="0.25">
      <c r="A8">
        <v>73</v>
      </c>
      <c r="D8">
        <f t="shared" ca="1" si="0"/>
        <v>0.38545748147686154</v>
      </c>
      <c r="E8">
        <f t="shared" ca="1" si="0"/>
        <v>0.24544627499578509</v>
      </c>
      <c r="F8">
        <f t="shared" ca="1" si="0"/>
        <v>6.8171577897575886E-2</v>
      </c>
      <c r="G8">
        <f t="shared" ca="1" si="0"/>
        <v>0.26345076149196855</v>
      </c>
      <c r="H8">
        <f t="shared" ca="1" si="0"/>
        <v>0.69291633704827882</v>
      </c>
      <c r="I8">
        <f t="shared" ca="1" si="0"/>
        <v>0.43132383233606642</v>
      </c>
      <c r="J8">
        <f t="shared" ca="1" si="0"/>
        <v>0.24046809520950263</v>
      </c>
    </row>
    <row r="9" spans="1:10" x14ac:dyDescent="0.25">
      <c r="A9">
        <v>92</v>
      </c>
      <c r="D9">
        <f t="shared" ca="1" si="0"/>
        <v>0.80522685737233479</v>
      </c>
      <c r="E9">
        <f t="shared" ca="1" si="0"/>
        <v>0.41681902147415995</v>
      </c>
      <c r="F9">
        <f t="shared" ca="1" si="0"/>
        <v>0.15831339872999317</v>
      </c>
      <c r="G9">
        <f t="shared" ca="1" si="0"/>
        <v>0.26462997437321167</v>
      </c>
      <c r="H9">
        <f t="shared" ca="1" si="0"/>
        <v>0.59341824177895475</v>
      </c>
      <c r="I9">
        <f t="shared" ca="1" si="0"/>
        <v>0.62944570483271534</v>
      </c>
      <c r="J9">
        <f t="shared" ca="1" si="0"/>
        <v>0.34918544431042897</v>
      </c>
    </row>
    <row r="10" spans="1:10" x14ac:dyDescent="0.25">
      <c r="A10">
        <v>36</v>
      </c>
      <c r="D10">
        <f t="shared" ca="1" si="0"/>
        <v>0.95924659671142087</v>
      </c>
      <c r="E10">
        <f t="shared" ca="1" si="0"/>
        <v>0.31248159989687563</v>
      </c>
      <c r="F10">
        <f t="shared" ca="1" si="0"/>
        <v>0.77930858086127797</v>
      </c>
      <c r="G10">
        <f t="shared" ca="1" si="0"/>
        <v>0.29669947572411459</v>
      </c>
      <c r="H10">
        <f t="shared" ca="1" si="0"/>
        <v>0.29486170739352913</v>
      </c>
      <c r="I10">
        <f t="shared" ca="1" si="0"/>
        <v>0.42981180727514356</v>
      </c>
      <c r="J10">
        <f t="shared" ca="1" si="0"/>
        <v>1.9216297428639284E-2</v>
      </c>
    </row>
    <row r="11" spans="1:10" x14ac:dyDescent="0.25">
      <c r="A11">
        <v>59</v>
      </c>
      <c r="D11">
        <f t="shared" ca="1" si="0"/>
        <v>0.45599213028869912</v>
      </c>
      <c r="E11">
        <f t="shared" ca="1" si="0"/>
        <v>0.38294657429427004</v>
      </c>
      <c r="F11">
        <f t="shared" ca="1" si="0"/>
        <v>0.4030027676472232</v>
      </c>
      <c r="G11">
        <f t="shared" ca="1" si="0"/>
        <v>0.66862251680582008</v>
      </c>
      <c r="H11">
        <f t="shared" ca="1" si="0"/>
        <v>0.826316948830223</v>
      </c>
      <c r="I11">
        <f t="shared" ca="1" si="0"/>
        <v>0.12587394405496877</v>
      </c>
      <c r="J11">
        <f t="shared" ca="1" si="0"/>
        <v>0.86897655433990573</v>
      </c>
    </row>
    <row r="12" spans="1:10" x14ac:dyDescent="0.25">
      <c r="A12">
        <v>81</v>
      </c>
      <c r="D12">
        <f t="shared" ca="1" si="0"/>
        <v>0.18822170096150714</v>
      </c>
      <c r="E12">
        <f t="shared" ca="1" si="0"/>
        <v>0.78581506717412364</v>
      </c>
      <c r="F12">
        <f t="shared" ca="1" si="0"/>
        <v>0.71684573702894816</v>
      </c>
      <c r="G12">
        <f t="shared" ca="1" si="0"/>
        <v>0.52379712036270198</v>
      </c>
      <c r="H12">
        <f t="shared" ca="1" si="0"/>
        <v>0.78925695885293401</v>
      </c>
      <c r="I12">
        <f t="shared" ca="1" si="0"/>
        <v>0.81945877036272652</v>
      </c>
      <c r="J12">
        <f t="shared" ca="1" si="0"/>
        <v>0.3755116614408609</v>
      </c>
    </row>
    <row r="13" spans="1:10" x14ac:dyDescent="0.25">
      <c r="A13">
        <v>98</v>
      </c>
    </row>
  </sheetData>
  <conditionalFormatting sqref="A4:A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J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{C2B20F4A-CDBE-4E99-8FC9-5AB178D0E80B}</x14:id>
        </ext>
      </extLst>
    </cfRule>
    <cfRule type="iconSet" priority="2">
      <iconSet iconSet="3Symbols">
        <cfvo type="percent" val="0"/>
        <cfvo type="percent" val="33"/>
        <cfvo type="percent" val="67"/>
      </iconSet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B20F4A-CDBE-4E99-8FC9-5AB178D0E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D4:J12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00FF"/>
  </sheetPr>
  <dimension ref="A1:D14"/>
  <sheetViews>
    <sheetView zoomScale="145" zoomScaleNormal="145" workbookViewId="0">
      <selection activeCell="G3" sqref="G3"/>
    </sheetView>
  </sheetViews>
  <sheetFormatPr defaultRowHeight="15" x14ac:dyDescent="0.25"/>
  <sheetData>
    <row r="1" spans="1:4" x14ac:dyDescent="0.25">
      <c r="A1" s="6" t="s">
        <v>55</v>
      </c>
    </row>
    <row r="4" spans="1:4" x14ac:dyDescent="0.25">
      <c r="A4" s="6" t="s">
        <v>50</v>
      </c>
      <c r="C4" s="6" t="s">
        <v>50</v>
      </c>
      <c r="D4" s="6" t="s">
        <v>89</v>
      </c>
    </row>
    <row r="5" spans="1:4" x14ac:dyDescent="0.25">
      <c r="A5">
        <v>19</v>
      </c>
      <c r="C5">
        <v>19</v>
      </c>
      <c r="D5">
        <f t="shared" ref="D5:D14" si="0">C5</f>
        <v>19</v>
      </c>
    </row>
    <row r="6" spans="1:4" x14ac:dyDescent="0.25">
      <c r="A6">
        <v>76</v>
      </c>
      <c r="C6">
        <v>76</v>
      </c>
      <c r="D6">
        <f t="shared" si="0"/>
        <v>76</v>
      </c>
    </row>
    <row r="7" spans="1:4" x14ac:dyDescent="0.25">
      <c r="A7">
        <v>23</v>
      </c>
      <c r="C7">
        <v>23</v>
      </c>
      <c r="D7">
        <f t="shared" si="0"/>
        <v>23</v>
      </c>
    </row>
    <row r="8" spans="1:4" x14ac:dyDescent="0.25">
      <c r="A8">
        <v>92</v>
      </c>
      <c r="C8">
        <v>92</v>
      </c>
      <c r="D8">
        <f t="shared" si="0"/>
        <v>92</v>
      </c>
    </row>
    <row r="9" spans="1:4" x14ac:dyDescent="0.25">
      <c r="A9">
        <v>73</v>
      </c>
      <c r="C9">
        <v>73</v>
      </c>
      <c r="D9">
        <f t="shared" si="0"/>
        <v>73</v>
      </c>
    </row>
    <row r="10" spans="1:4" x14ac:dyDescent="0.25">
      <c r="A10">
        <v>92</v>
      </c>
      <c r="C10">
        <v>92</v>
      </c>
      <c r="D10">
        <f t="shared" si="0"/>
        <v>92</v>
      </c>
    </row>
    <row r="11" spans="1:4" x14ac:dyDescent="0.25">
      <c r="A11">
        <v>36</v>
      </c>
      <c r="C11">
        <v>36</v>
      </c>
      <c r="D11">
        <f t="shared" si="0"/>
        <v>36</v>
      </c>
    </row>
    <row r="12" spans="1:4" x14ac:dyDescent="0.25">
      <c r="A12">
        <v>59</v>
      </c>
      <c r="C12">
        <v>59</v>
      </c>
      <c r="D12">
        <f t="shared" si="0"/>
        <v>59</v>
      </c>
    </row>
    <row r="13" spans="1:4" x14ac:dyDescent="0.25">
      <c r="A13">
        <v>81</v>
      </c>
      <c r="C13">
        <v>81</v>
      </c>
      <c r="D13">
        <f t="shared" si="0"/>
        <v>81</v>
      </c>
    </row>
    <row r="14" spans="1:4" x14ac:dyDescent="0.25">
      <c r="A14">
        <v>98</v>
      </c>
      <c r="C14">
        <v>98</v>
      </c>
      <c r="D14">
        <f t="shared" si="0"/>
        <v>98</v>
      </c>
    </row>
  </sheetData>
  <conditionalFormatting sqref="A5:A1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D5:D14">
    <cfRule type="iconSet" priority="1">
      <iconSet iconSet="3Arrows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00FF"/>
  </sheetPr>
  <dimension ref="A1:B11"/>
  <sheetViews>
    <sheetView zoomScale="145" zoomScaleNormal="145" workbookViewId="0">
      <selection activeCell="A6" sqref="A6:A7"/>
    </sheetView>
  </sheetViews>
  <sheetFormatPr defaultRowHeight="15" x14ac:dyDescent="0.25"/>
  <sheetData>
    <row r="1" spans="1:2" x14ac:dyDescent="0.25">
      <c r="A1">
        <v>13</v>
      </c>
      <c r="B1" s="11" t="s">
        <v>24</v>
      </c>
    </row>
    <row r="2" spans="1:2" x14ac:dyDescent="0.25">
      <c r="B2" s="7" t="s">
        <v>38</v>
      </c>
    </row>
    <row r="3" spans="1:2" x14ac:dyDescent="0.25">
      <c r="B3" s="7" t="s">
        <v>25</v>
      </c>
    </row>
    <row r="4" spans="1:2" x14ac:dyDescent="0.25">
      <c r="B4" s="7" t="s">
        <v>26</v>
      </c>
    </row>
    <row r="5" spans="1:2" x14ac:dyDescent="0.25">
      <c r="B5" s="7" t="s">
        <v>40</v>
      </c>
    </row>
    <row r="6" spans="1:2" x14ac:dyDescent="0.25">
      <c r="B6" s="7" t="s">
        <v>39</v>
      </c>
    </row>
    <row r="7" spans="1:2" x14ac:dyDescent="0.25">
      <c r="B7" s="7" t="s">
        <v>41</v>
      </c>
    </row>
    <row r="8" spans="1:2" x14ac:dyDescent="0.25">
      <c r="B8" s="7" t="s">
        <v>42</v>
      </c>
    </row>
    <row r="9" spans="1:2" x14ac:dyDescent="0.25">
      <c r="B9" s="7" t="s">
        <v>43</v>
      </c>
    </row>
    <row r="10" spans="1:2" ht="21" x14ac:dyDescent="0.35">
      <c r="B10" s="13" t="s">
        <v>44</v>
      </c>
    </row>
    <row r="11" spans="1:2" ht="21" x14ac:dyDescent="0.35">
      <c r="B11" s="13" t="s">
        <v>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00FF"/>
  </sheetPr>
  <dimension ref="A1:I29"/>
  <sheetViews>
    <sheetView topLeftCell="A16" zoomScale="130" zoomScaleNormal="130" workbookViewId="0">
      <selection activeCell="I24" sqref="I24"/>
    </sheetView>
  </sheetViews>
  <sheetFormatPr defaultRowHeight="15" x14ac:dyDescent="0.25"/>
  <cols>
    <col min="2" max="2" width="14.28515625" customWidth="1"/>
    <col min="3" max="3" width="14" customWidth="1"/>
  </cols>
  <sheetData>
    <row r="1" spans="1:7" x14ac:dyDescent="0.25">
      <c r="A1" t="s">
        <v>32</v>
      </c>
    </row>
    <row r="3" spans="1:7" x14ac:dyDescent="0.25">
      <c r="A3" s="14" t="s">
        <v>63</v>
      </c>
      <c r="B3" s="14" t="s">
        <v>64</v>
      </c>
      <c r="C3" s="14" t="s">
        <v>65</v>
      </c>
      <c r="D3" s="14" t="s">
        <v>66</v>
      </c>
      <c r="E3" s="14" t="s">
        <v>67</v>
      </c>
    </row>
    <row r="4" spans="1:7" x14ac:dyDescent="0.25">
      <c r="A4" s="15" t="s">
        <v>68</v>
      </c>
      <c r="B4" s="16">
        <v>755</v>
      </c>
      <c r="C4" s="16">
        <v>1015</v>
      </c>
      <c r="D4" s="15">
        <v>700</v>
      </c>
      <c r="E4" s="15">
        <f t="shared" ref="E4:E9" si="0">D4*(C4-B4)</f>
        <v>182000</v>
      </c>
    </row>
    <row r="5" spans="1:7" x14ac:dyDescent="0.25">
      <c r="A5" s="15" t="s">
        <v>69</v>
      </c>
      <c r="B5" s="16">
        <v>22</v>
      </c>
      <c r="C5" s="16">
        <v>29.1</v>
      </c>
      <c r="D5" s="15">
        <v>2200</v>
      </c>
      <c r="E5" s="15">
        <f t="shared" si="0"/>
        <v>15620.000000000004</v>
      </c>
    </row>
    <row r="6" spans="1:7" x14ac:dyDescent="0.25">
      <c r="A6" s="15" t="s">
        <v>70</v>
      </c>
      <c r="B6" s="16">
        <v>36</v>
      </c>
      <c r="C6" s="16">
        <v>37</v>
      </c>
      <c r="D6" s="15">
        <v>300</v>
      </c>
      <c r="E6" s="15">
        <f t="shared" si="0"/>
        <v>300</v>
      </c>
    </row>
    <row r="7" spans="1:7" x14ac:dyDescent="0.25">
      <c r="A7" s="15" t="s">
        <v>71</v>
      </c>
      <c r="B7" s="16">
        <v>36</v>
      </c>
      <c r="C7" s="16">
        <v>36</v>
      </c>
      <c r="D7" s="15">
        <v>4000</v>
      </c>
      <c r="E7" s="15">
        <f t="shared" si="0"/>
        <v>0</v>
      </c>
    </row>
    <row r="8" spans="1:7" x14ac:dyDescent="0.25">
      <c r="A8" s="15" t="s">
        <v>72</v>
      </c>
      <c r="B8" s="16">
        <v>51</v>
      </c>
      <c r="C8" s="16">
        <v>42</v>
      </c>
      <c r="D8" s="15">
        <v>700</v>
      </c>
      <c r="E8" s="15">
        <f t="shared" si="0"/>
        <v>-6300</v>
      </c>
    </row>
    <row r="9" spans="1:7" x14ac:dyDescent="0.25">
      <c r="A9" s="15" t="s">
        <v>73</v>
      </c>
      <c r="B9" s="16">
        <v>31</v>
      </c>
      <c r="C9" s="16">
        <v>17</v>
      </c>
      <c r="D9" s="15">
        <v>400</v>
      </c>
      <c r="E9" s="15">
        <f t="shared" si="0"/>
        <v>-5600</v>
      </c>
    </row>
    <row r="11" spans="1:7" x14ac:dyDescent="0.25">
      <c r="E11" t="s">
        <v>74</v>
      </c>
    </row>
    <row r="13" spans="1:7" x14ac:dyDescent="0.25">
      <c r="A13" s="14" t="s">
        <v>63</v>
      </c>
      <c r="B13" s="14" t="s">
        <v>64</v>
      </c>
      <c r="C13" s="14" t="s">
        <v>65</v>
      </c>
      <c r="D13" s="14" t="s">
        <v>66</v>
      </c>
      <c r="E13" s="14" t="s">
        <v>67</v>
      </c>
      <c r="G13" s="24" t="s">
        <v>75</v>
      </c>
    </row>
    <row r="14" spans="1:7" x14ac:dyDescent="0.25">
      <c r="A14" s="15" t="s">
        <v>68</v>
      </c>
      <c r="B14" s="16">
        <v>755</v>
      </c>
      <c r="C14" s="16">
        <v>1015</v>
      </c>
      <c r="D14" s="15">
        <v>700</v>
      </c>
      <c r="E14" s="15">
        <f t="shared" ref="E14:E19" si="1">D14*(C14-B14)</f>
        <v>182000</v>
      </c>
      <c r="G14" s="15">
        <v>0</v>
      </c>
    </row>
    <row r="15" spans="1:7" x14ac:dyDescent="0.25">
      <c r="A15" s="15" t="s">
        <v>69</v>
      </c>
      <c r="B15" s="16">
        <v>22</v>
      </c>
      <c r="C15" s="16">
        <v>29.1</v>
      </c>
      <c r="D15" s="15">
        <v>2200</v>
      </c>
      <c r="E15" s="15">
        <f t="shared" si="1"/>
        <v>15620.000000000004</v>
      </c>
    </row>
    <row r="16" spans="1:7" x14ac:dyDescent="0.25">
      <c r="A16" s="15" t="s">
        <v>70</v>
      </c>
      <c r="B16" s="16">
        <v>36</v>
      </c>
      <c r="C16" s="16">
        <v>37</v>
      </c>
      <c r="D16" s="15">
        <v>300</v>
      </c>
      <c r="E16" s="15">
        <f t="shared" si="1"/>
        <v>300</v>
      </c>
    </row>
    <row r="17" spans="1:9" x14ac:dyDescent="0.25">
      <c r="A17" s="15" t="s">
        <v>71</v>
      </c>
      <c r="B17" s="16">
        <v>36</v>
      </c>
      <c r="C17" s="16">
        <v>36</v>
      </c>
      <c r="D17" s="15">
        <v>4000</v>
      </c>
      <c r="E17" s="15">
        <f t="shared" si="1"/>
        <v>0</v>
      </c>
    </row>
    <row r="18" spans="1:9" x14ac:dyDescent="0.25">
      <c r="A18" s="15" t="s">
        <v>72</v>
      </c>
      <c r="B18" s="16">
        <v>51</v>
      </c>
      <c r="C18" s="16">
        <v>42</v>
      </c>
      <c r="D18" s="15">
        <v>700</v>
      </c>
      <c r="E18" s="15">
        <f t="shared" si="1"/>
        <v>-6300</v>
      </c>
    </row>
    <row r="19" spans="1:9" x14ac:dyDescent="0.25">
      <c r="A19" s="15" t="s">
        <v>73</v>
      </c>
      <c r="B19" s="16">
        <v>31</v>
      </c>
      <c r="C19" s="16">
        <v>17</v>
      </c>
      <c r="D19" s="15">
        <v>400</v>
      </c>
      <c r="E19" s="15">
        <f t="shared" si="1"/>
        <v>-5600</v>
      </c>
    </row>
    <row r="21" spans="1:9" x14ac:dyDescent="0.25">
      <c r="E21" t="s">
        <v>74</v>
      </c>
    </row>
    <row r="23" spans="1:9" x14ac:dyDescent="0.25">
      <c r="A23" s="14" t="s">
        <v>63</v>
      </c>
      <c r="B23" s="14" t="s">
        <v>64</v>
      </c>
      <c r="C23" s="14" t="s">
        <v>65</v>
      </c>
      <c r="D23" s="14" t="s">
        <v>66</v>
      </c>
      <c r="E23" s="14" t="s">
        <v>67</v>
      </c>
      <c r="G23" s="24" t="s">
        <v>75</v>
      </c>
    </row>
    <row r="24" spans="1:9" x14ac:dyDescent="0.25">
      <c r="A24" s="15" t="s">
        <v>68</v>
      </c>
      <c r="B24" s="16">
        <v>755</v>
      </c>
      <c r="C24" s="16">
        <v>1015</v>
      </c>
      <c r="D24" s="15">
        <v>700</v>
      </c>
      <c r="E24" s="15">
        <f t="shared" ref="E24:E29" si="2">D24*(C24-B24)</f>
        <v>182000</v>
      </c>
      <c r="G24" s="15">
        <v>0</v>
      </c>
      <c r="I24" s="15" t="b">
        <f>E24&lt;$G$24</f>
        <v>0</v>
      </c>
    </row>
    <row r="25" spans="1:9" x14ac:dyDescent="0.25">
      <c r="A25" s="15" t="s">
        <v>69</v>
      </c>
      <c r="B25" s="16">
        <v>22</v>
      </c>
      <c r="C25" s="16">
        <v>29.1</v>
      </c>
      <c r="D25" s="15">
        <v>2200</v>
      </c>
      <c r="E25" s="15">
        <f t="shared" si="2"/>
        <v>15620.000000000004</v>
      </c>
      <c r="I25" s="15" t="b">
        <f t="shared" ref="I25:I29" si="3">E25&lt;$G$24</f>
        <v>0</v>
      </c>
    </row>
    <row r="26" spans="1:9" x14ac:dyDescent="0.25">
      <c r="A26" s="15" t="s">
        <v>70</v>
      </c>
      <c r="B26" s="16">
        <v>36</v>
      </c>
      <c r="C26" s="16">
        <v>37</v>
      </c>
      <c r="D26" s="15">
        <v>300</v>
      </c>
      <c r="E26" s="15">
        <f t="shared" si="2"/>
        <v>300</v>
      </c>
      <c r="I26" s="15" t="b">
        <f t="shared" si="3"/>
        <v>0</v>
      </c>
    </row>
    <row r="27" spans="1:9" x14ac:dyDescent="0.25">
      <c r="A27" s="15" t="s">
        <v>71</v>
      </c>
      <c r="B27" s="16">
        <v>36</v>
      </c>
      <c r="C27" s="16">
        <v>36</v>
      </c>
      <c r="D27" s="15">
        <v>4000</v>
      </c>
      <c r="E27" s="15">
        <f t="shared" si="2"/>
        <v>0</v>
      </c>
      <c r="I27" s="15" t="b">
        <f t="shared" si="3"/>
        <v>0</v>
      </c>
    </row>
    <row r="28" spans="1:9" x14ac:dyDescent="0.25">
      <c r="A28" s="15" t="s">
        <v>72</v>
      </c>
      <c r="B28" s="16">
        <v>51</v>
      </c>
      <c r="C28" s="16">
        <v>42</v>
      </c>
      <c r="D28" s="15">
        <v>700</v>
      </c>
      <c r="E28" s="15">
        <f t="shared" si="2"/>
        <v>-6300</v>
      </c>
      <c r="I28" s="15" t="b">
        <f t="shared" si="3"/>
        <v>1</v>
      </c>
    </row>
    <row r="29" spans="1:9" x14ac:dyDescent="0.25">
      <c r="A29" s="15" t="s">
        <v>73</v>
      </c>
      <c r="B29" s="16">
        <v>31</v>
      </c>
      <c r="C29" s="16">
        <v>17</v>
      </c>
      <c r="D29" s="15">
        <v>400</v>
      </c>
      <c r="E29" s="15">
        <f t="shared" si="2"/>
        <v>-5600</v>
      </c>
      <c r="I29" s="15" t="b">
        <f t="shared" si="3"/>
        <v>1</v>
      </c>
    </row>
  </sheetData>
  <conditionalFormatting sqref="E4:E9">
    <cfRule type="cellIs" dxfId="12" priority="5" operator="lessThan">
      <formula>0</formula>
    </cfRule>
  </conditionalFormatting>
  <conditionalFormatting sqref="E14:E19">
    <cfRule type="cellIs" dxfId="11" priority="4" operator="lessThan">
      <formula>$G$14</formula>
    </cfRule>
  </conditionalFormatting>
  <conditionalFormatting sqref="E24:E29">
    <cfRule type="expression" dxfId="10" priority="1">
      <formula>E24&lt;$G$24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E19"/>
  <sheetViews>
    <sheetView topLeftCell="A4" zoomScale="115" zoomScaleNormal="115" workbookViewId="0">
      <selection activeCell="C13" sqref="C13:C19"/>
    </sheetView>
  </sheetViews>
  <sheetFormatPr defaultRowHeight="15" x14ac:dyDescent="0.25"/>
  <cols>
    <col min="1" max="1" width="16.7109375" customWidth="1"/>
    <col min="2" max="2" width="22.7109375" customWidth="1"/>
    <col min="3" max="3" width="15.5703125" customWidth="1"/>
  </cols>
  <sheetData>
    <row r="1" spans="1:5" x14ac:dyDescent="0.25">
      <c r="A1" t="s">
        <v>92</v>
      </c>
    </row>
    <row r="3" spans="1:5" x14ac:dyDescent="0.25">
      <c r="A3" s="18" t="s">
        <v>77</v>
      </c>
      <c r="B3" s="18" t="s">
        <v>79</v>
      </c>
      <c r="C3" s="18" t="s">
        <v>76</v>
      </c>
    </row>
    <row r="4" spans="1:5" x14ac:dyDescent="0.25">
      <c r="A4" s="15" t="s">
        <v>78</v>
      </c>
      <c r="B4" s="19">
        <v>15000</v>
      </c>
      <c r="C4" s="19">
        <v>15000</v>
      </c>
    </row>
    <row r="5" spans="1:5" x14ac:dyDescent="0.25">
      <c r="A5" s="15" t="s">
        <v>80</v>
      </c>
      <c r="B5" s="19">
        <v>195500</v>
      </c>
      <c r="C5" s="19">
        <v>215809.25</v>
      </c>
    </row>
    <row r="6" spans="1:5" x14ac:dyDescent="0.25">
      <c r="A6" s="15" t="s">
        <v>81</v>
      </c>
      <c r="B6" s="19">
        <v>59800</v>
      </c>
      <c r="C6" s="19">
        <v>59852.11</v>
      </c>
    </row>
    <row r="7" spans="1:5" x14ac:dyDescent="0.25">
      <c r="A7" s="15" t="s">
        <v>82</v>
      </c>
      <c r="B7" s="19">
        <v>356500</v>
      </c>
      <c r="C7" s="19">
        <v>345089.25</v>
      </c>
    </row>
    <row r="8" spans="1:5" x14ac:dyDescent="0.25">
      <c r="A8" s="15" t="s">
        <v>83</v>
      </c>
      <c r="B8" s="19">
        <v>159000</v>
      </c>
      <c r="C8" s="19">
        <v>149087.25</v>
      </c>
    </row>
    <row r="9" spans="1:5" x14ac:dyDescent="0.25">
      <c r="A9" s="15" t="s">
        <v>84</v>
      </c>
      <c r="B9" s="19">
        <v>105000</v>
      </c>
      <c r="C9" s="19">
        <v>105000</v>
      </c>
    </row>
    <row r="10" spans="1:5" x14ac:dyDescent="0.25">
      <c r="A10" s="15" t="s">
        <v>85</v>
      </c>
      <c r="B10" s="19">
        <v>7500</v>
      </c>
      <c r="C10" s="19">
        <v>65809.25</v>
      </c>
    </row>
    <row r="12" spans="1:5" x14ac:dyDescent="0.25">
      <c r="A12" s="18" t="s">
        <v>77</v>
      </c>
      <c r="B12" s="18" t="s">
        <v>79</v>
      </c>
      <c r="C12" s="18" t="s">
        <v>76</v>
      </c>
    </row>
    <row r="13" spans="1:5" x14ac:dyDescent="0.25">
      <c r="A13" s="15" t="s">
        <v>78</v>
      </c>
      <c r="B13" s="19">
        <v>15000</v>
      </c>
      <c r="C13" s="19">
        <v>15000</v>
      </c>
      <c r="E13" s="15" t="b">
        <f>C13&gt;B13</f>
        <v>0</v>
      </c>
    </row>
    <row r="14" spans="1:5" x14ac:dyDescent="0.25">
      <c r="A14" s="15" t="s">
        <v>80</v>
      </c>
      <c r="B14" s="19">
        <v>195500</v>
      </c>
      <c r="C14" s="19">
        <v>215809.25</v>
      </c>
      <c r="E14" s="15" t="b">
        <f t="shared" ref="E14:E19" si="0">C14&gt;B14</f>
        <v>1</v>
      </c>
    </row>
    <row r="15" spans="1:5" x14ac:dyDescent="0.25">
      <c r="A15" s="15" t="s">
        <v>81</v>
      </c>
      <c r="B15" s="19">
        <v>59800</v>
      </c>
      <c r="C15" s="19">
        <v>59852.11</v>
      </c>
      <c r="E15" s="15" t="b">
        <f t="shared" si="0"/>
        <v>1</v>
      </c>
    </row>
    <row r="16" spans="1:5" x14ac:dyDescent="0.25">
      <c r="A16" s="15" t="s">
        <v>82</v>
      </c>
      <c r="B16" s="19">
        <v>356500</v>
      </c>
      <c r="C16" s="19">
        <v>345089.25</v>
      </c>
      <c r="E16" s="15" t="b">
        <f t="shared" si="0"/>
        <v>0</v>
      </c>
    </row>
    <row r="17" spans="1:5" x14ac:dyDescent="0.25">
      <c r="A17" s="15" t="s">
        <v>83</v>
      </c>
      <c r="B17" s="19">
        <v>159000</v>
      </c>
      <c r="C17" s="19">
        <v>149087.25</v>
      </c>
      <c r="E17" s="15" t="b">
        <f t="shared" si="0"/>
        <v>0</v>
      </c>
    </row>
    <row r="18" spans="1:5" x14ac:dyDescent="0.25">
      <c r="A18" s="15" t="s">
        <v>84</v>
      </c>
      <c r="B18" s="19">
        <v>105000</v>
      </c>
      <c r="C18" s="19">
        <v>105000</v>
      </c>
      <c r="E18" s="15" t="b">
        <f t="shared" si="0"/>
        <v>0</v>
      </c>
    </row>
    <row r="19" spans="1:5" x14ac:dyDescent="0.25">
      <c r="A19" s="15" t="s">
        <v>85</v>
      </c>
      <c r="B19" s="19">
        <v>7500</v>
      </c>
      <c r="C19" s="19">
        <v>65809.25</v>
      </c>
      <c r="E19" s="15" t="b">
        <f t="shared" si="0"/>
        <v>1</v>
      </c>
    </row>
  </sheetData>
  <conditionalFormatting sqref="C4:C10">
    <cfRule type="cellIs" dxfId="9" priority="2" operator="greaterThan">
      <formula>B4</formula>
    </cfRule>
  </conditionalFormatting>
  <conditionalFormatting sqref="C13:C19">
    <cfRule type="expression" dxfId="8" priority="1">
      <formula>C13&gt;B13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I53"/>
  <sheetViews>
    <sheetView zoomScale="145" zoomScaleNormal="145" workbookViewId="0">
      <selection activeCell="E7" sqref="E7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</cols>
  <sheetData>
    <row r="1" spans="1:9" x14ac:dyDescent="0.25">
      <c r="A1" t="s">
        <v>90</v>
      </c>
    </row>
    <row r="3" spans="1:9" x14ac:dyDescent="0.25">
      <c r="A3" s="26" t="s">
        <v>0</v>
      </c>
      <c r="H3" s="21"/>
      <c r="I3" s="20"/>
    </row>
    <row r="4" spans="1:9" x14ac:dyDescent="0.25">
      <c r="A4" s="22">
        <v>41279</v>
      </c>
      <c r="H4" s="21"/>
      <c r="I4" s="20"/>
    </row>
    <row r="5" spans="1:9" x14ac:dyDescent="0.25">
      <c r="H5" s="21"/>
      <c r="I5" s="20"/>
    </row>
    <row r="6" spans="1:9" x14ac:dyDescent="0.2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9" x14ac:dyDescent="0.25">
      <c r="A7" s="2">
        <v>659443</v>
      </c>
      <c r="B7" s="3">
        <v>41279</v>
      </c>
      <c r="C7" s="4" t="s">
        <v>34</v>
      </c>
      <c r="D7" s="4" t="s">
        <v>5</v>
      </c>
      <c r="E7" s="5">
        <v>4536</v>
      </c>
      <c r="F7" s="5">
        <v>2358.7199999999998</v>
      </c>
    </row>
    <row r="8" spans="1:9" x14ac:dyDescent="0.25">
      <c r="A8" s="2">
        <v>659453</v>
      </c>
      <c r="B8" s="3">
        <v>41284</v>
      </c>
      <c r="C8" s="4" t="s">
        <v>6</v>
      </c>
      <c r="D8" s="4" t="s">
        <v>17</v>
      </c>
      <c r="E8" s="5">
        <v>4309.2</v>
      </c>
      <c r="F8" s="5">
        <v>2326.9499999999998</v>
      </c>
    </row>
    <row r="9" spans="1:9" x14ac:dyDescent="0.25">
      <c r="A9" s="2">
        <v>659444</v>
      </c>
      <c r="B9" s="3">
        <v>41279</v>
      </c>
      <c r="C9" s="4" t="s">
        <v>6</v>
      </c>
      <c r="D9" s="4" t="s">
        <v>9</v>
      </c>
      <c r="E9" s="5">
        <v>3938.4</v>
      </c>
      <c r="F9" s="5">
        <v>1890.4</v>
      </c>
    </row>
    <row r="10" spans="1:9" x14ac:dyDescent="0.25">
      <c r="A10" s="2">
        <v>659446</v>
      </c>
      <c r="B10" s="3">
        <v>41279</v>
      </c>
      <c r="C10" s="4" t="s">
        <v>34</v>
      </c>
      <c r="D10" s="4" t="s">
        <v>5</v>
      </c>
      <c r="E10" s="5">
        <v>3361.2</v>
      </c>
      <c r="F10" s="5">
        <v>1579.75</v>
      </c>
    </row>
    <row r="11" spans="1:9" x14ac:dyDescent="0.25">
      <c r="A11" s="2">
        <v>659446</v>
      </c>
      <c r="B11" s="3">
        <v>41279</v>
      </c>
      <c r="C11" s="4" t="s">
        <v>34</v>
      </c>
      <c r="D11" s="4" t="s">
        <v>13</v>
      </c>
      <c r="E11" s="5">
        <v>3174</v>
      </c>
      <c r="F11" s="5">
        <v>1713.96</v>
      </c>
    </row>
    <row r="12" spans="1:9" x14ac:dyDescent="0.25">
      <c r="A12" s="2">
        <v>659442</v>
      </c>
      <c r="B12" s="3">
        <v>41278</v>
      </c>
      <c r="C12" s="4" t="s">
        <v>34</v>
      </c>
      <c r="D12" s="4" t="s">
        <v>5</v>
      </c>
      <c r="E12" s="5">
        <v>2772</v>
      </c>
      <c r="F12" s="5">
        <v>1469.16</v>
      </c>
    </row>
    <row r="13" spans="1:9" x14ac:dyDescent="0.25">
      <c r="A13" s="2">
        <v>659446</v>
      </c>
      <c r="B13" s="3">
        <v>41279</v>
      </c>
      <c r="C13" s="4" t="s">
        <v>34</v>
      </c>
      <c r="D13" s="4" t="s">
        <v>5</v>
      </c>
      <c r="E13" s="5">
        <v>2744.98</v>
      </c>
      <c r="F13" s="5">
        <v>1317.61</v>
      </c>
    </row>
    <row r="14" spans="1:9" x14ac:dyDescent="0.25">
      <c r="A14" s="2">
        <v>659455</v>
      </c>
      <c r="B14" s="3">
        <v>41285</v>
      </c>
      <c r="C14" s="4" t="s">
        <v>34</v>
      </c>
      <c r="D14" s="4" t="s">
        <v>10</v>
      </c>
      <c r="E14" s="5">
        <v>2631.6</v>
      </c>
      <c r="F14" s="5">
        <v>1421.04</v>
      </c>
    </row>
    <row r="15" spans="1:9" x14ac:dyDescent="0.25">
      <c r="A15" s="2">
        <v>659457</v>
      </c>
      <c r="B15" s="3">
        <v>41286</v>
      </c>
      <c r="C15" s="4" t="s">
        <v>35</v>
      </c>
      <c r="D15" s="4" t="s">
        <v>11</v>
      </c>
      <c r="E15" s="5">
        <v>2394</v>
      </c>
      <c r="F15" s="5">
        <v>1292.76</v>
      </c>
    </row>
    <row r="16" spans="1:9" x14ac:dyDescent="0.25">
      <c r="A16" s="2">
        <v>659446</v>
      </c>
      <c r="B16" s="3">
        <v>41279</v>
      </c>
      <c r="C16" s="4" t="s">
        <v>34</v>
      </c>
      <c r="D16" s="4" t="s">
        <v>5</v>
      </c>
      <c r="E16" s="5">
        <v>2304</v>
      </c>
      <c r="F16" s="5">
        <v>1082.8800000000001</v>
      </c>
    </row>
    <row r="17" spans="1:6" x14ac:dyDescent="0.25">
      <c r="A17" s="2">
        <v>659441</v>
      </c>
      <c r="B17" s="3">
        <v>41277</v>
      </c>
      <c r="C17" s="4" t="s">
        <v>34</v>
      </c>
      <c r="D17" s="4" t="s">
        <v>8</v>
      </c>
      <c r="E17" s="5">
        <v>1980</v>
      </c>
      <c r="F17" s="5">
        <v>990</v>
      </c>
    </row>
    <row r="18" spans="1:6" x14ac:dyDescent="0.25">
      <c r="A18" s="2">
        <v>659440</v>
      </c>
      <c r="B18" s="3">
        <v>41276</v>
      </c>
      <c r="C18" s="4" t="s">
        <v>6</v>
      </c>
      <c r="D18" s="4" t="s">
        <v>9</v>
      </c>
      <c r="E18" s="5">
        <v>1957.6</v>
      </c>
      <c r="F18" s="5">
        <v>1037.55</v>
      </c>
    </row>
    <row r="19" spans="1:6" x14ac:dyDescent="0.25">
      <c r="A19" s="2">
        <v>659454</v>
      </c>
      <c r="B19" s="3">
        <v>41285</v>
      </c>
      <c r="C19" s="4" t="s">
        <v>35</v>
      </c>
      <c r="D19" s="4" t="s">
        <v>12</v>
      </c>
      <c r="E19" s="5">
        <v>1672</v>
      </c>
      <c r="F19" s="5">
        <v>819.28</v>
      </c>
    </row>
    <row r="20" spans="1:6" x14ac:dyDescent="0.25">
      <c r="A20" s="2">
        <v>659447</v>
      </c>
      <c r="B20" s="3">
        <v>41279</v>
      </c>
      <c r="C20" s="4" t="s">
        <v>35</v>
      </c>
      <c r="D20" s="4" t="s">
        <v>15</v>
      </c>
      <c r="E20" s="5">
        <v>1664</v>
      </c>
      <c r="F20" s="5">
        <v>881.92</v>
      </c>
    </row>
    <row r="21" spans="1:6" x14ac:dyDescent="0.25">
      <c r="A21" s="2">
        <v>659445</v>
      </c>
      <c r="B21" s="3">
        <v>41279</v>
      </c>
      <c r="C21" s="4" t="s">
        <v>34</v>
      </c>
      <c r="D21" s="4" t="s">
        <v>8</v>
      </c>
      <c r="E21" s="5">
        <v>1650</v>
      </c>
      <c r="F21" s="5">
        <v>792</v>
      </c>
    </row>
    <row r="22" spans="1:6" x14ac:dyDescent="0.25">
      <c r="A22" s="2">
        <v>659455</v>
      </c>
      <c r="B22" s="3">
        <v>41285</v>
      </c>
      <c r="C22" s="4" t="s">
        <v>35</v>
      </c>
      <c r="D22" s="4" t="s">
        <v>14</v>
      </c>
      <c r="E22" s="5">
        <v>1632</v>
      </c>
      <c r="F22" s="5">
        <v>767.04</v>
      </c>
    </row>
    <row r="23" spans="1:6" x14ac:dyDescent="0.25">
      <c r="A23" s="2">
        <v>659452</v>
      </c>
      <c r="B23" s="3">
        <v>41284</v>
      </c>
      <c r="C23" s="4" t="s">
        <v>35</v>
      </c>
      <c r="D23" s="4" t="s">
        <v>14</v>
      </c>
      <c r="E23" s="5">
        <v>1360</v>
      </c>
      <c r="F23" s="5">
        <v>639.20000000000005</v>
      </c>
    </row>
    <row r="24" spans="1:6" x14ac:dyDescent="0.25">
      <c r="A24" s="2">
        <v>659458</v>
      </c>
      <c r="B24" s="3">
        <v>41287</v>
      </c>
      <c r="C24" s="4" t="s">
        <v>6</v>
      </c>
      <c r="D24" s="4" t="s">
        <v>17</v>
      </c>
      <c r="E24" s="5">
        <v>1316.7</v>
      </c>
      <c r="F24" s="5">
        <v>618.84</v>
      </c>
    </row>
    <row r="25" spans="1:6" x14ac:dyDescent="0.25">
      <c r="A25" s="2">
        <v>659439</v>
      </c>
      <c r="B25" s="3">
        <v>41275</v>
      </c>
      <c r="C25" s="4" t="s">
        <v>34</v>
      </c>
      <c r="D25" s="4" t="s">
        <v>5</v>
      </c>
      <c r="E25" s="5">
        <v>1232.44</v>
      </c>
      <c r="F25" s="5">
        <v>591.58000000000004</v>
      </c>
    </row>
    <row r="26" spans="1:6" x14ac:dyDescent="0.25">
      <c r="A26" s="2">
        <v>659456</v>
      </c>
      <c r="B26" s="3">
        <v>41286</v>
      </c>
      <c r="C26" s="4" t="s">
        <v>34</v>
      </c>
      <c r="D26" s="4" t="s">
        <v>13</v>
      </c>
      <c r="E26" s="5">
        <v>1150</v>
      </c>
      <c r="F26" s="5">
        <v>552</v>
      </c>
    </row>
    <row r="27" spans="1:6" x14ac:dyDescent="0.25">
      <c r="A27" s="2">
        <v>659446</v>
      </c>
      <c r="B27" s="3">
        <v>41279</v>
      </c>
      <c r="C27" s="4" t="s">
        <v>35</v>
      </c>
      <c r="D27" s="4" t="s">
        <v>12</v>
      </c>
      <c r="E27" s="5">
        <v>1008.72</v>
      </c>
      <c r="F27" s="5">
        <v>504.36</v>
      </c>
    </row>
    <row r="28" spans="1:6" x14ac:dyDescent="0.25">
      <c r="A28" s="2">
        <v>659450</v>
      </c>
      <c r="B28" s="3">
        <v>41282</v>
      </c>
      <c r="C28" s="4" t="s">
        <v>34</v>
      </c>
      <c r="D28" s="4" t="s">
        <v>5</v>
      </c>
      <c r="E28" s="5">
        <v>962.88</v>
      </c>
      <c r="F28" s="5">
        <v>510.32</v>
      </c>
    </row>
    <row r="29" spans="1:6" x14ac:dyDescent="0.25">
      <c r="A29" s="2">
        <v>659446</v>
      </c>
      <c r="B29" s="3">
        <v>41279</v>
      </c>
      <c r="C29" s="4" t="s">
        <v>35</v>
      </c>
      <c r="D29" s="4" t="s">
        <v>11</v>
      </c>
      <c r="E29" s="5">
        <v>730.2</v>
      </c>
      <c r="F29" s="5">
        <v>365.1</v>
      </c>
    </row>
    <row r="30" spans="1:6" x14ac:dyDescent="0.2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</row>
    <row r="31" spans="1:6" x14ac:dyDescent="0.25">
      <c r="A31" s="2">
        <v>659455</v>
      </c>
      <c r="B31" s="3">
        <v>41285</v>
      </c>
      <c r="C31" s="4" t="s">
        <v>35</v>
      </c>
      <c r="D31" s="4" t="s">
        <v>11</v>
      </c>
      <c r="E31" s="5">
        <v>670.4</v>
      </c>
      <c r="F31" s="5">
        <v>341.92</v>
      </c>
    </row>
    <row r="32" spans="1:6" x14ac:dyDescent="0.25">
      <c r="A32" s="2">
        <v>659449</v>
      </c>
      <c r="B32" s="3">
        <v>41281</v>
      </c>
      <c r="C32" s="4" t="s">
        <v>34</v>
      </c>
      <c r="D32" s="4" t="s">
        <v>13</v>
      </c>
      <c r="E32" s="5">
        <v>611.41999999999996</v>
      </c>
      <c r="F32" s="5">
        <v>324.06</v>
      </c>
    </row>
    <row r="33" spans="1:6" x14ac:dyDescent="0.25">
      <c r="A33" s="2">
        <v>659441</v>
      </c>
      <c r="B33" s="3">
        <v>41277</v>
      </c>
      <c r="C33" s="4" t="s">
        <v>34</v>
      </c>
      <c r="D33" s="4" t="s">
        <v>5</v>
      </c>
      <c r="E33" s="5">
        <v>561.67999999999995</v>
      </c>
      <c r="F33" s="5">
        <v>303.31</v>
      </c>
    </row>
    <row r="34" spans="1:6" x14ac:dyDescent="0.25">
      <c r="A34" s="2">
        <v>659443</v>
      </c>
      <c r="B34" s="3">
        <v>41279</v>
      </c>
      <c r="C34" s="4" t="s">
        <v>34</v>
      </c>
      <c r="D34" s="4" t="s">
        <v>10</v>
      </c>
      <c r="E34" s="5">
        <v>503.1</v>
      </c>
      <c r="F34" s="5">
        <v>251.56</v>
      </c>
    </row>
    <row r="35" spans="1:6" x14ac:dyDescent="0.25">
      <c r="A35" s="2">
        <v>659456</v>
      </c>
      <c r="B35" s="3">
        <v>41286</v>
      </c>
      <c r="C35" s="4" t="s">
        <v>35</v>
      </c>
      <c r="D35" s="4" t="s">
        <v>12</v>
      </c>
      <c r="E35" s="5">
        <v>495</v>
      </c>
      <c r="F35" s="5">
        <v>237.6</v>
      </c>
    </row>
    <row r="36" spans="1:6" x14ac:dyDescent="0.25">
      <c r="A36" s="2">
        <v>659444</v>
      </c>
      <c r="B36" s="3">
        <v>41279</v>
      </c>
      <c r="C36" s="4" t="s">
        <v>34</v>
      </c>
      <c r="D36" s="4" t="s">
        <v>10</v>
      </c>
      <c r="E36" s="5">
        <v>464.96</v>
      </c>
      <c r="F36" s="5">
        <v>237.12</v>
      </c>
    </row>
    <row r="37" spans="1:6" x14ac:dyDescent="0.25">
      <c r="A37" s="2">
        <v>659440</v>
      </c>
      <c r="B37" s="3">
        <v>41276</v>
      </c>
      <c r="C37" s="4" t="s">
        <v>6</v>
      </c>
      <c r="D37" s="4" t="s">
        <v>7</v>
      </c>
      <c r="E37" s="5">
        <v>451.2</v>
      </c>
      <c r="F37" s="5">
        <v>212.08</v>
      </c>
    </row>
    <row r="38" spans="1:6" x14ac:dyDescent="0.25">
      <c r="A38" s="2">
        <v>659455</v>
      </c>
      <c r="B38" s="3">
        <v>41285</v>
      </c>
      <c r="C38" s="4" t="s">
        <v>6</v>
      </c>
      <c r="D38" s="4" t="s">
        <v>7</v>
      </c>
      <c r="E38" s="5">
        <v>394.8</v>
      </c>
      <c r="F38" s="5">
        <v>197.4</v>
      </c>
    </row>
    <row r="39" spans="1:6" x14ac:dyDescent="0.25">
      <c r="A39" s="2">
        <v>659455</v>
      </c>
      <c r="B39" s="3">
        <v>41285</v>
      </c>
      <c r="C39" s="4" t="s">
        <v>35</v>
      </c>
      <c r="D39" s="4" t="s">
        <v>11</v>
      </c>
      <c r="E39" s="5">
        <v>368.72</v>
      </c>
      <c r="F39" s="5">
        <v>188.04</v>
      </c>
    </row>
    <row r="40" spans="1:6" x14ac:dyDescent="0.25">
      <c r="A40" s="2">
        <v>659440</v>
      </c>
      <c r="B40" s="3">
        <v>41276</v>
      </c>
      <c r="C40" s="4" t="s">
        <v>34</v>
      </c>
      <c r="D40" s="4" t="s">
        <v>8</v>
      </c>
      <c r="E40" s="5">
        <v>357.5</v>
      </c>
      <c r="F40" s="5">
        <v>193.06</v>
      </c>
    </row>
    <row r="41" spans="1:6" x14ac:dyDescent="0.25">
      <c r="A41" s="2">
        <v>659451</v>
      </c>
      <c r="B41" s="3">
        <v>41283</v>
      </c>
      <c r="C41" s="4" t="s">
        <v>6</v>
      </c>
      <c r="D41" s="4" t="s">
        <v>16</v>
      </c>
      <c r="E41" s="5">
        <v>256.2</v>
      </c>
      <c r="F41" s="5">
        <v>140.9</v>
      </c>
    </row>
    <row r="42" spans="1:6" x14ac:dyDescent="0.25">
      <c r="A42" s="2">
        <v>659453</v>
      </c>
      <c r="B42" s="3">
        <v>41284</v>
      </c>
      <c r="C42" s="4" t="s">
        <v>6</v>
      </c>
      <c r="D42" s="4" t="s">
        <v>7</v>
      </c>
      <c r="E42" s="5">
        <v>241.28</v>
      </c>
      <c r="F42" s="5">
        <v>132.72</v>
      </c>
    </row>
    <row r="43" spans="1:6" x14ac:dyDescent="0.25">
      <c r="A43" s="2">
        <v>659455</v>
      </c>
      <c r="B43" s="3">
        <v>41285</v>
      </c>
      <c r="C43" s="4" t="s">
        <v>35</v>
      </c>
      <c r="D43" s="4" t="s">
        <v>11</v>
      </c>
      <c r="E43" s="5">
        <v>219.06</v>
      </c>
      <c r="F43" s="5">
        <v>118.3</v>
      </c>
    </row>
    <row r="44" spans="1:6" x14ac:dyDescent="0.25">
      <c r="A44" s="2">
        <v>659458</v>
      </c>
      <c r="B44" s="3">
        <v>41287</v>
      </c>
      <c r="C44" s="4" t="s">
        <v>6</v>
      </c>
      <c r="D44" s="4" t="s">
        <v>16</v>
      </c>
      <c r="E44" s="5">
        <v>207.36</v>
      </c>
      <c r="F44" s="5">
        <v>107.82</v>
      </c>
    </row>
    <row r="45" spans="1:6" x14ac:dyDescent="0.25">
      <c r="A45" s="2">
        <v>659451</v>
      </c>
      <c r="B45" s="3">
        <v>41283</v>
      </c>
      <c r="C45" s="4" t="s">
        <v>6</v>
      </c>
      <c r="D45" s="4" t="s">
        <v>7</v>
      </c>
      <c r="E45" s="5">
        <v>203.04</v>
      </c>
      <c r="F45" s="5">
        <v>95.4</v>
      </c>
    </row>
    <row r="46" spans="1:6" x14ac:dyDescent="0.2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</row>
    <row r="47" spans="1:6" x14ac:dyDescent="0.25">
      <c r="A47" s="2">
        <v>659459</v>
      </c>
      <c r="B47" s="3">
        <v>41288</v>
      </c>
      <c r="C47" s="4" t="s">
        <v>6</v>
      </c>
      <c r="D47" s="4" t="s">
        <v>16</v>
      </c>
      <c r="E47" s="5">
        <v>183</v>
      </c>
      <c r="F47" s="5">
        <v>95.2</v>
      </c>
    </row>
    <row r="48" spans="1:6" x14ac:dyDescent="0.25">
      <c r="A48" s="2">
        <v>659445</v>
      </c>
      <c r="B48" s="3">
        <v>41279</v>
      </c>
      <c r="C48" s="4" t="s">
        <v>35</v>
      </c>
      <c r="D48" s="4" t="s">
        <v>11</v>
      </c>
      <c r="E48" s="5">
        <v>114</v>
      </c>
      <c r="F48" s="5">
        <v>55.86</v>
      </c>
    </row>
    <row r="49" spans="1:6" x14ac:dyDescent="0.25">
      <c r="A49" s="2">
        <v>659457</v>
      </c>
      <c r="B49" s="3">
        <v>41286</v>
      </c>
      <c r="C49" s="4" t="s">
        <v>35</v>
      </c>
      <c r="D49" s="4" t="s">
        <v>14</v>
      </c>
      <c r="E49" s="5">
        <v>60.6</v>
      </c>
      <c r="F49" s="5">
        <v>28.5</v>
      </c>
    </row>
    <row r="50" spans="1:6" x14ac:dyDescent="0.25">
      <c r="A50" s="2">
        <v>659456</v>
      </c>
      <c r="B50" s="3">
        <v>41286</v>
      </c>
      <c r="C50" s="4" t="s">
        <v>6</v>
      </c>
      <c r="D50" s="4" t="s">
        <v>16</v>
      </c>
      <c r="E50" s="5">
        <v>51.24</v>
      </c>
      <c r="F50" s="5">
        <v>27.16</v>
      </c>
    </row>
    <row r="51" spans="1:6" x14ac:dyDescent="0.25">
      <c r="A51" s="2">
        <v>659447</v>
      </c>
      <c r="B51" s="3">
        <v>41279</v>
      </c>
      <c r="C51" s="4" t="s">
        <v>35</v>
      </c>
      <c r="D51" s="4" t="s">
        <v>14</v>
      </c>
      <c r="E51" s="5">
        <v>48.48</v>
      </c>
      <c r="F51" s="5">
        <v>25.2</v>
      </c>
    </row>
    <row r="52" spans="1:6" x14ac:dyDescent="0.25">
      <c r="A52" s="2">
        <v>659457</v>
      </c>
      <c r="B52" s="3">
        <v>41286</v>
      </c>
      <c r="C52" s="4" t="s">
        <v>6</v>
      </c>
      <c r="D52" s="4" t="s">
        <v>16</v>
      </c>
      <c r="E52" s="5">
        <v>40.26</v>
      </c>
      <c r="F52" s="5">
        <v>21.33</v>
      </c>
    </row>
    <row r="53" spans="1:6" x14ac:dyDescent="0.25">
      <c r="A53" s="2">
        <v>659455</v>
      </c>
      <c r="B53" s="3">
        <v>41285</v>
      </c>
      <c r="C53" s="4" t="s">
        <v>6</v>
      </c>
      <c r="D53" s="4" t="s">
        <v>16</v>
      </c>
      <c r="E53" s="5">
        <v>39.04</v>
      </c>
      <c r="F53" s="5">
        <v>19.52</v>
      </c>
    </row>
  </sheetData>
  <sortState xmlns:xlrd2="http://schemas.microsoft.com/office/spreadsheetml/2017/richdata2" ref="A7:F53">
    <sortCondition descending="1" ref="E7"/>
  </sortState>
  <conditionalFormatting sqref="E7:E53">
    <cfRule type="expression" dxfId="7" priority="1">
      <formula>B7=$A$4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F53"/>
  <sheetViews>
    <sheetView zoomScale="145" zoomScaleNormal="145" workbookViewId="0">
      <selection activeCell="F8" sqref="A8:F8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</cols>
  <sheetData>
    <row r="1" spans="1:6" x14ac:dyDescent="0.25">
      <c r="A1" t="s">
        <v>91</v>
      </c>
    </row>
    <row r="3" spans="1:6" x14ac:dyDescent="0.25">
      <c r="A3" s="27" t="s">
        <v>33</v>
      </c>
    </row>
    <row r="4" spans="1:6" x14ac:dyDescent="0.25">
      <c r="A4" s="2">
        <v>659440</v>
      </c>
    </row>
    <row r="6" spans="1:6" x14ac:dyDescent="0.2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25">
      <c r="A7" s="2">
        <v>659439</v>
      </c>
      <c r="B7" s="3">
        <v>41275</v>
      </c>
      <c r="C7" s="4" t="s">
        <v>34</v>
      </c>
      <c r="D7" s="4" t="s">
        <v>5</v>
      </c>
      <c r="E7" s="5">
        <v>1232.44</v>
      </c>
      <c r="F7" s="5">
        <v>591.58000000000004</v>
      </c>
    </row>
    <row r="8" spans="1:6" x14ac:dyDescent="0.25">
      <c r="A8" s="2">
        <v>659440</v>
      </c>
      <c r="B8" s="3">
        <v>41276</v>
      </c>
      <c r="C8" s="4" t="s">
        <v>6</v>
      </c>
      <c r="D8" s="4" t="s">
        <v>7</v>
      </c>
      <c r="E8" s="5">
        <v>451.2</v>
      </c>
      <c r="F8" s="5">
        <v>212.08</v>
      </c>
    </row>
    <row r="9" spans="1:6" x14ac:dyDescent="0.25">
      <c r="A9" s="2">
        <v>659440</v>
      </c>
      <c r="B9" s="3">
        <v>41276</v>
      </c>
      <c r="C9" s="4" t="s">
        <v>34</v>
      </c>
      <c r="D9" s="4" t="s">
        <v>8</v>
      </c>
      <c r="E9" s="5">
        <v>357.5</v>
      </c>
      <c r="F9" s="5">
        <v>193.06</v>
      </c>
    </row>
    <row r="10" spans="1:6" x14ac:dyDescent="0.25">
      <c r="A10" s="2">
        <v>659440</v>
      </c>
      <c r="B10" s="3">
        <v>41276</v>
      </c>
      <c r="C10" s="4" t="s">
        <v>6</v>
      </c>
      <c r="D10" s="4" t="s">
        <v>9</v>
      </c>
      <c r="E10" s="5">
        <v>1957.6</v>
      </c>
      <c r="F10" s="5">
        <v>1037.55</v>
      </c>
    </row>
    <row r="11" spans="1:6" x14ac:dyDescent="0.25">
      <c r="A11" s="2">
        <v>659441</v>
      </c>
      <c r="B11" s="3">
        <v>41277</v>
      </c>
      <c r="C11" s="4" t="s">
        <v>34</v>
      </c>
      <c r="D11" s="4" t="s">
        <v>5</v>
      </c>
      <c r="E11" s="5">
        <v>561.67999999999995</v>
      </c>
      <c r="F11" s="5">
        <v>303.31</v>
      </c>
    </row>
    <row r="12" spans="1:6" x14ac:dyDescent="0.25">
      <c r="A12" s="2">
        <v>659441</v>
      </c>
      <c r="B12" s="3">
        <v>41277</v>
      </c>
      <c r="C12" s="4" t="s">
        <v>34</v>
      </c>
      <c r="D12" s="4" t="s">
        <v>8</v>
      </c>
      <c r="E12" s="5">
        <v>1980</v>
      </c>
      <c r="F12" s="5">
        <v>990</v>
      </c>
    </row>
    <row r="13" spans="1:6" x14ac:dyDescent="0.25">
      <c r="A13" s="2">
        <v>659442</v>
      </c>
      <c r="B13" s="3">
        <v>41278</v>
      </c>
      <c r="C13" s="4" t="s">
        <v>34</v>
      </c>
      <c r="D13" s="4" t="s">
        <v>5</v>
      </c>
      <c r="E13" s="5">
        <v>2772</v>
      </c>
      <c r="F13" s="5">
        <v>1469.16</v>
      </c>
    </row>
    <row r="14" spans="1:6" x14ac:dyDescent="0.25">
      <c r="A14" s="2">
        <v>659443</v>
      </c>
      <c r="B14" s="3">
        <v>41279</v>
      </c>
      <c r="C14" s="4" t="s">
        <v>34</v>
      </c>
      <c r="D14" s="4" t="s">
        <v>5</v>
      </c>
      <c r="E14" s="5">
        <v>4536</v>
      </c>
      <c r="F14" s="5">
        <v>2358.7199999999998</v>
      </c>
    </row>
    <row r="15" spans="1:6" x14ac:dyDescent="0.25">
      <c r="A15" s="2">
        <v>659443</v>
      </c>
      <c r="B15" s="3">
        <v>41279</v>
      </c>
      <c r="C15" s="4" t="s">
        <v>34</v>
      </c>
      <c r="D15" s="4" t="s">
        <v>10</v>
      </c>
      <c r="E15" s="5">
        <v>503.1</v>
      </c>
      <c r="F15" s="5">
        <v>251.56</v>
      </c>
    </row>
    <row r="16" spans="1:6" x14ac:dyDescent="0.25">
      <c r="A16" s="2">
        <v>659444</v>
      </c>
      <c r="B16" s="3">
        <v>41279</v>
      </c>
      <c r="C16" s="4" t="s">
        <v>6</v>
      </c>
      <c r="D16" s="4" t="s">
        <v>9</v>
      </c>
      <c r="E16" s="5">
        <v>3938.4</v>
      </c>
      <c r="F16" s="5">
        <v>1890.4</v>
      </c>
    </row>
    <row r="17" spans="1:6" x14ac:dyDescent="0.25">
      <c r="A17" s="2">
        <v>659444</v>
      </c>
      <c r="B17" s="3">
        <v>41279</v>
      </c>
      <c r="C17" s="4" t="s">
        <v>34</v>
      </c>
      <c r="D17" s="4" t="s">
        <v>10</v>
      </c>
      <c r="E17" s="5">
        <v>464.96</v>
      </c>
      <c r="F17" s="5">
        <v>237.12</v>
      </c>
    </row>
    <row r="18" spans="1:6" x14ac:dyDescent="0.25">
      <c r="A18" s="2">
        <v>659445</v>
      </c>
      <c r="B18" s="3">
        <v>41279</v>
      </c>
      <c r="C18" s="4" t="s">
        <v>34</v>
      </c>
      <c r="D18" s="4" t="s">
        <v>8</v>
      </c>
      <c r="E18" s="5">
        <v>1650</v>
      </c>
      <c r="F18" s="5">
        <v>792</v>
      </c>
    </row>
    <row r="19" spans="1:6" x14ac:dyDescent="0.25">
      <c r="A19" s="2">
        <v>659445</v>
      </c>
      <c r="B19" s="3">
        <v>41279</v>
      </c>
      <c r="C19" s="4" t="s">
        <v>35</v>
      </c>
      <c r="D19" s="4" t="s">
        <v>11</v>
      </c>
      <c r="E19" s="5">
        <v>114</v>
      </c>
      <c r="F19" s="5">
        <v>55.86</v>
      </c>
    </row>
    <row r="20" spans="1:6" x14ac:dyDescent="0.25">
      <c r="A20" s="2">
        <v>659446</v>
      </c>
      <c r="B20" s="3">
        <v>41279</v>
      </c>
      <c r="C20" s="4" t="s">
        <v>35</v>
      </c>
      <c r="D20" s="4" t="s">
        <v>12</v>
      </c>
      <c r="E20" s="5">
        <v>1008.72</v>
      </c>
      <c r="F20" s="5">
        <v>504.36</v>
      </c>
    </row>
    <row r="21" spans="1:6" x14ac:dyDescent="0.25">
      <c r="A21" s="2">
        <v>659446</v>
      </c>
      <c r="B21" s="3">
        <v>41279</v>
      </c>
      <c r="C21" s="4" t="s">
        <v>35</v>
      </c>
      <c r="D21" s="4" t="s">
        <v>11</v>
      </c>
      <c r="E21" s="5">
        <v>730.2</v>
      </c>
      <c r="F21" s="5">
        <v>365.1</v>
      </c>
    </row>
    <row r="22" spans="1:6" x14ac:dyDescent="0.25">
      <c r="A22" s="2">
        <v>659446</v>
      </c>
      <c r="B22" s="3">
        <v>41279</v>
      </c>
      <c r="C22" s="4" t="s">
        <v>34</v>
      </c>
      <c r="D22" s="4" t="s">
        <v>13</v>
      </c>
      <c r="E22" s="5">
        <v>3174</v>
      </c>
      <c r="F22" s="5">
        <v>1713.96</v>
      </c>
    </row>
    <row r="23" spans="1:6" x14ac:dyDescent="0.25">
      <c r="A23" s="2">
        <v>659446</v>
      </c>
      <c r="B23" s="3">
        <v>41279</v>
      </c>
      <c r="C23" s="4" t="s">
        <v>34</v>
      </c>
      <c r="D23" s="4" t="s">
        <v>5</v>
      </c>
      <c r="E23" s="5">
        <v>2304</v>
      </c>
      <c r="F23" s="5">
        <v>1082.8800000000001</v>
      </c>
    </row>
    <row r="24" spans="1:6" x14ac:dyDescent="0.25">
      <c r="A24" s="2">
        <v>659446</v>
      </c>
      <c r="B24" s="3">
        <v>41279</v>
      </c>
      <c r="C24" s="4" t="s">
        <v>34</v>
      </c>
      <c r="D24" s="4" t="s">
        <v>5</v>
      </c>
      <c r="E24" s="5">
        <v>2744.98</v>
      </c>
      <c r="F24" s="5">
        <v>1317.61</v>
      </c>
    </row>
    <row r="25" spans="1:6" x14ac:dyDescent="0.25">
      <c r="A25" s="2">
        <v>659446</v>
      </c>
      <c r="B25" s="3">
        <v>41279</v>
      </c>
      <c r="C25" s="4" t="s">
        <v>34</v>
      </c>
      <c r="D25" s="4" t="s">
        <v>5</v>
      </c>
      <c r="E25" s="5">
        <v>3361.2</v>
      </c>
      <c r="F25" s="5">
        <v>1579.75</v>
      </c>
    </row>
    <row r="26" spans="1:6" x14ac:dyDescent="0.25">
      <c r="A26" s="2">
        <v>659447</v>
      </c>
      <c r="B26" s="3">
        <v>41279</v>
      </c>
      <c r="C26" s="4" t="s">
        <v>35</v>
      </c>
      <c r="D26" s="4" t="s">
        <v>14</v>
      </c>
      <c r="E26" s="5">
        <v>48.48</v>
      </c>
      <c r="F26" s="5">
        <v>25.2</v>
      </c>
    </row>
    <row r="27" spans="1:6" x14ac:dyDescent="0.25">
      <c r="A27" s="2">
        <v>659447</v>
      </c>
      <c r="B27" s="3">
        <v>41279</v>
      </c>
      <c r="C27" s="4" t="s">
        <v>35</v>
      </c>
      <c r="D27" s="4" t="s">
        <v>15</v>
      </c>
      <c r="E27" s="5">
        <v>1664</v>
      </c>
      <c r="F27" s="5">
        <v>881.92</v>
      </c>
    </row>
    <row r="28" spans="1:6" x14ac:dyDescent="0.25">
      <c r="A28" s="2">
        <v>659448</v>
      </c>
      <c r="B28" s="3">
        <v>41280</v>
      </c>
      <c r="C28" s="4" t="s">
        <v>35</v>
      </c>
      <c r="D28" s="4" t="s">
        <v>11</v>
      </c>
      <c r="E28" s="5">
        <v>670.4</v>
      </c>
      <c r="F28" s="5">
        <v>355.28</v>
      </c>
    </row>
    <row r="29" spans="1:6" x14ac:dyDescent="0.25">
      <c r="A29" s="2">
        <v>659449</v>
      </c>
      <c r="B29" s="3">
        <v>41281</v>
      </c>
      <c r="C29" s="4" t="s">
        <v>34</v>
      </c>
      <c r="D29" s="4" t="s">
        <v>13</v>
      </c>
      <c r="E29" s="5">
        <v>611.41999999999996</v>
      </c>
      <c r="F29" s="5">
        <v>324.06</v>
      </c>
    </row>
    <row r="30" spans="1:6" x14ac:dyDescent="0.25">
      <c r="A30" s="2">
        <v>659450</v>
      </c>
      <c r="B30" s="3">
        <v>41282</v>
      </c>
      <c r="C30" s="4" t="s">
        <v>34</v>
      </c>
      <c r="D30" s="4" t="s">
        <v>5</v>
      </c>
      <c r="E30" s="5">
        <v>962.88</v>
      </c>
      <c r="F30" s="5">
        <v>510.32</v>
      </c>
    </row>
    <row r="31" spans="1:6" x14ac:dyDescent="0.25">
      <c r="A31" s="2">
        <v>659451</v>
      </c>
      <c r="B31" s="3">
        <v>41283</v>
      </c>
      <c r="C31" s="4" t="s">
        <v>6</v>
      </c>
      <c r="D31" s="4" t="s">
        <v>7</v>
      </c>
      <c r="E31" s="5">
        <v>203.04</v>
      </c>
      <c r="F31" s="5">
        <v>95.4</v>
      </c>
    </row>
    <row r="32" spans="1:6" x14ac:dyDescent="0.25">
      <c r="A32" s="2">
        <v>659451</v>
      </c>
      <c r="B32" s="3">
        <v>41283</v>
      </c>
      <c r="C32" s="4" t="s">
        <v>6</v>
      </c>
      <c r="D32" s="4" t="s">
        <v>16</v>
      </c>
      <c r="E32" s="5">
        <v>256.2</v>
      </c>
      <c r="F32" s="5">
        <v>140.9</v>
      </c>
    </row>
    <row r="33" spans="1:6" x14ac:dyDescent="0.25">
      <c r="A33" s="2">
        <v>659452</v>
      </c>
      <c r="B33" s="3">
        <v>41284</v>
      </c>
      <c r="C33" s="4" t="s">
        <v>35</v>
      </c>
      <c r="D33" s="4" t="s">
        <v>14</v>
      </c>
      <c r="E33" s="5">
        <v>1360</v>
      </c>
      <c r="F33" s="5">
        <v>639.20000000000005</v>
      </c>
    </row>
    <row r="34" spans="1:6" x14ac:dyDescent="0.25">
      <c r="A34" s="2">
        <v>659453</v>
      </c>
      <c r="B34" s="3">
        <v>41284</v>
      </c>
      <c r="C34" s="4" t="s">
        <v>6</v>
      </c>
      <c r="D34" s="4" t="s">
        <v>17</v>
      </c>
      <c r="E34" s="5">
        <v>4309.2</v>
      </c>
      <c r="F34" s="5">
        <v>2326.9499999999998</v>
      </c>
    </row>
    <row r="35" spans="1:6" x14ac:dyDescent="0.25">
      <c r="A35" s="2">
        <v>659453</v>
      </c>
      <c r="B35" s="3">
        <v>41284</v>
      </c>
      <c r="C35" s="4" t="s">
        <v>6</v>
      </c>
      <c r="D35" s="4" t="s">
        <v>7</v>
      </c>
      <c r="E35" s="5">
        <v>241.28</v>
      </c>
      <c r="F35" s="5">
        <v>132.72</v>
      </c>
    </row>
    <row r="36" spans="1:6" x14ac:dyDescent="0.25">
      <c r="A36" s="2">
        <v>659454</v>
      </c>
      <c r="B36" s="3">
        <v>41285</v>
      </c>
      <c r="C36" s="4" t="s">
        <v>35</v>
      </c>
      <c r="D36" s="4" t="s">
        <v>12</v>
      </c>
      <c r="E36" s="5">
        <v>1672</v>
      </c>
      <c r="F36" s="5">
        <v>819.28</v>
      </c>
    </row>
    <row r="37" spans="1:6" x14ac:dyDescent="0.25">
      <c r="A37" s="2">
        <v>659455</v>
      </c>
      <c r="B37" s="3">
        <v>41285</v>
      </c>
      <c r="C37" s="4" t="s">
        <v>34</v>
      </c>
      <c r="D37" s="4" t="s">
        <v>10</v>
      </c>
      <c r="E37" s="5">
        <v>2631.6</v>
      </c>
      <c r="F37" s="5">
        <v>1421.04</v>
      </c>
    </row>
    <row r="38" spans="1:6" x14ac:dyDescent="0.25">
      <c r="A38" s="2">
        <v>659455</v>
      </c>
      <c r="B38" s="3">
        <v>41285</v>
      </c>
      <c r="C38" s="4" t="s">
        <v>35</v>
      </c>
      <c r="D38" s="4" t="s">
        <v>11</v>
      </c>
      <c r="E38" s="5">
        <v>368.72</v>
      </c>
      <c r="F38" s="5">
        <v>188.04</v>
      </c>
    </row>
    <row r="39" spans="1:6" x14ac:dyDescent="0.25">
      <c r="A39" s="2">
        <v>659455</v>
      </c>
      <c r="B39" s="3">
        <v>41285</v>
      </c>
      <c r="C39" s="4" t="s">
        <v>35</v>
      </c>
      <c r="D39" s="4" t="s">
        <v>14</v>
      </c>
      <c r="E39" s="5">
        <v>1632</v>
      </c>
      <c r="F39" s="5">
        <v>767.04</v>
      </c>
    </row>
    <row r="40" spans="1:6" x14ac:dyDescent="0.25">
      <c r="A40" s="2">
        <v>659455</v>
      </c>
      <c r="B40" s="3">
        <v>41285</v>
      </c>
      <c r="C40" s="4" t="s">
        <v>35</v>
      </c>
      <c r="D40" s="4" t="s">
        <v>11</v>
      </c>
      <c r="E40" s="5">
        <v>670.4</v>
      </c>
      <c r="F40" s="5">
        <v>341.92</v>
      </c>
    </row>
    <row r="41" spans="1:6" x14ac:dyDescent="0.25">
      <c r="A41" s="2">
        <v>659455</v>
      </c>
      <c r="B41" s="3">
        <v>41285</v>
      </c>
      <c r="C41" s="4" t="s">
        <v>6</v>
      </c>
      <c r="D41" s="4" t="s">
        <v>16</v>
      </c>
      <c r="E41" s="5">
        <v>39.04</v>
      </c>
      <c r="F41" s="5">
        <v>19.52</v>
      </c>
    </row>
    <row r="42" spans="1:6" x14ac:dyDescent="0.25">
      <c r="A42" s="2">
        <v>659455</v>
      </c>
      <c r="B42" s="3">
        <v>41285</v>
      </c>
      <c r="C42" s="4" t="s">
        <v>6</v>
      </c>
      <c r="D42" s="4" t="s">
        <v>7</v>
      </c>
      <c r="E42" s="5">
        <v>394.8</v>
      </c>
      <c r="F42" s="5">
        <v>197.4</v>
      </c>
    </row>
    <row r="43" spans="1:6" x14ac:dyDescent="0.25">
      <c r="A43" s="2">
        <v>659455</v>
      </c>
      <c r="B43" s="3">
        <v>41285</v>
      </c>
      <c r="C43" s="4" t="s">
        <v>35</v>
      </c>
      <c r="D43" s="4" t="s">
        <v>11</v>
      </c>
      <c r="E43" s="5">
        <v>219.06</v>
      </c>
      <c r="F43" s="5">
        <v>118.3</v>
      </c>
    </row>
    <row r="44" spans="1:6" x14ac:dyDescent="0.25">
      <c r="A44" s="2">
        <v>659455</v>
      </c>
      <c r="B44" s="3">
        <v>41285</v>
      </c>
      <c r="C44" s="4" t="s">
        <v>34</v>
      </c>
      <c r="D44" s="4" t="s">
        <v>5</v>
      </c>
      <c r="E44" s="5">
        <v>200.6</v>
      </c>
      <c r="F44" s="5">
        <v>106.32</v>
      </c>
    </row>
    <row r="45" spans="1:6" x14ac:dyDescent="0.25">
      <c r="A45" s="2">
        <v>659456</v>
      </c>
      <c r="B45" s="3">
        <v>41286</v>
      </c>
      <c r="C45" s="4" t="s">
        <v>34</v>
      </c>
      <c r="D45" s="4" t="s">
        <v>13</v>
      </c>
      <c r="E45" s="5">
        <v>1150</v>
      </c>
      <c r="F45" s="5">
        <v>552</v>
      </c>
    </row>
    <row r="46" spans="1:6" x14ac:dyDescent="0.25">
      <c r="A46" s="2">
        <v>659456</v>
      </c>
      <c r="B46" s="3">
        <v>41286</v>
      </c>
      <c r="C46" s="4" t="s">
        <v>35</v>
      </c>
      <c r="D46" s="4" t="s">
        <v>12</v>
      </c>
      <c r="E46" s="5">
        <v>495</v>
      </c>
      <c r="F46" s="5">
        <v>237.6</v>
      </c>
    </row>
    <row r="47" spans="1:6" x14ac:dyDescent="0.25">
      <c r="A47" s="2">
        <v>659456</v>
      </c>
      <c r="B47" s="3">
        <v>41286</v>
      </c>
      <c r="C47" s="4" t="s">
        <v>6</v>
      </c>
      <c r="D47" s="4" t="s">
        <v>16</v>
      </c>
      <c r="E47" s="5">
        <v>51.24</v>
      </c>
      <c r="F47" s="5">
        <v>27.16</v>
      </c>
    </row>
    <row r="48" spans="1:6" x14ac:dyDescent="0.25">
      <c r="A48" s="2">
        <v>659457</v>
      </c>
      <c r="B48" s="3">
        <v>41286</v>
      </c>
      <c r="C48" s="4" t="s">
        <v>6</v>
      </c>
      <c r="D48" s="4" t="s">
        <v>16</v>
      </c>
      <c r="E48" s="5">
        <v>40.26</v>
      </c>
      <c r="F48" s="5">
        <v>21.33</v>
      </c>
    </row>
    <row r="49" spans="1:6" x14ac:dyDescent="0.25">
      <c r="A49" s="2">
        <v>659457</v>
      </c>
      <c r="B49" s="3">
        <v>41286</v>
      </c>
      <c r="C49" s="4" t="s">
        <v>35</v>
      </c>
      <c r="D49" s="4" t="s">
        <v>14</v>
      </c>
      <c r="E49" s="5">
        <v>60.6</v>
      </c>
      <c r="F49" s="5">
        <v>28.5</v>
      </c>
    </row>
    <row r="50" spans="1:6" x14ac:dyDescent="0.25">
      <c r="A50" s="2">
        <v>659457</v>
      </c>
      <c r="B50" s="3">
        <v>41286</v>
      </c>
      <c r="C50" s="4" t="s">
        <v>35</v>
      </c>
      <c r="D50" s="4" t="s">
        <v>11</v>
      </c>
      <c r="E50" s="5">
        <v>2394</v>
      </c>
      <c r="F50" s="5">
        <v>1292.76</v>
      </c>
    </row>
    <row r="51" spans="1:6" x14ac:dyDescent="0.25">
      <c r="A51" s="2">
        <v>659458</v>
      </c>
      <c r="B51" s="3">
        <v>41287</v>
      </c>
      <c r="C51" s="4" t="s">
        <v>6</v>
      </c>
      <c r="D51" s="4" t="s">
        <v>16</v>
      </c>
      <c r="E51" s="5">
        <v>207.36</v>
      </c>
      <c r="F51" s="5">
        <v>107.82</v>
      </c>
    </row>
    <row r="52" spans="1:6" x14ac:dyDescent="0.25">
      <c r="A52" s="2">
        <v>659458</v>
      </c>
      <c r="B52" s="3">
        <v>41287</v>
      </c>
      <c r="C52" s="4" t="s">
        <v>6</v>
      </c>
      <c r="D52" s="4" t="s">
        <v>17</v>
      </c>
      <c r="E52" s="5">
        <v>1316.7</v>
      </c>
      <c r="F52" s="5">
        <v>618.84</v>
      </c>
    </row>
    <row r="53" spans="1:6" x14ac:dyDescent="0.25">
      <c r="A53" s="2">
        <v>659459</v>
      </c>
      <c r="B53" s="3">
        <v>41288</v>
      </c>
      <c r="C53" s="4" t="s">
        <v>6</v>
      </c>
      <c r="D53" s="4" t="s">
        <v>16</v>
      </c>
      <c r="E53" s="5">
        <v>183</v>
      </c>
      <c r="F53" s="5">
        <v>95.2</v>
      </c>
    </row>
  </sheetData>
  <conditionalFormatting sqref="E7:E53">
    <cfRule type="expression" dxfId="6" priority="1">
      <formula>A7=$A$4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M53"/>
  <sheetViews>
    <sheetView zoomScale="115" zoomScaleNormal="115" workbookViewId="0">
      <selection activeCell="A12" sqref="A12:F12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</cols>
  <sheetData>
    <row r="1" spans="1:13" x14ac:dyDescent="0.25">
      <c r="A1" t="s">
        <v>30</v>
      </c>
    </row>
    <row r="3" spans="1:13" x14ac:dyDescent="0.25">
      <c r="A3" s="25" t="s">
        <v>0</v>
      </c>
    </row>
    <row r="4" spans="1:13" x14ac:dyDescent="0.25">
      <c r="A4" s="22">
        <v>41279</v>
      </c>
    </row>
    <row r="6" spans="1:13" ht="30" x14ac:dyDescent="0.2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  <c r="H6" s="23" t="s">
        <v>33</v>
      </c>
      <c r="I6" s="23" t="s">
        <v>0</v>
      </c>
      <c r="J6" s="23" t="s">
        <v>1</v>
      </c>
      <c r="K6" s="23" t="s">
        <v>2</v>
      </c>
      <c r="L6" s="23" t="s">
        <v>3</v>
      </c>
      <c r="M6" s="23" t="s">
        <v>4</v>
      </c>
    </row>
    <row r="7" spans="1:13" x14ac:dyDescent="0.25">
      <c r="A7" s="2">
        <v>659455</v>
      </c>
      <c r="B7" s="3">
        <v>41285</v>
      </c>
      <c r="C7" s="4" t="s">
        <v>6</v>
      </c>
      <c r="D7" s="4" t="s">
        <v>16</v>
      </c>
      <c r="E7" s="5">
        <v>39.04</v>
      </c>
      <c r="F7" s="5">
        <v>19.52</v>
      </c>
      <c r="H7" s="4" t="b">
        <f>$B7=$A$4</f>
        <v>0</v>
      </c>
      <c r="I7" s="4" t="b">
        <f t="shared" ref="I7:M22" si="0">$B7=$A$4</f>
        <v>0</v>
      </c>
      <c r="J7" s="4" t="b">
        <f t="shared" si="0"/>
        <v>0</v>
      </c>
      <c r="K7" s="4" t="b">
        <f t="shared" si="0"/>
        <v>0</v>
      </c>
      <c r="L7" s="4" t="b">
        <f t="shared" si="0"/>
        <v>0</v>
      </c>
      <c r="M7" s="4" t="b">
        <f t="shared" si="0"/>
        <v>0</v>
      </c>
    </row>
    <row r="8" spans="1:13" x14ac:dyDescent="0.25">
      <c r="A8" s="2">
        <v>659457</v>
      </c>
      <c r="B8" s="3">
        <v>41286</v>
      </c>
      <c r="C8" s="4" t="s">
        <v>6</v>
      </c>
      <c r="D8" s="4" t="s">
        <v>16</v>
      </c>
      <c r="E8" s="5">
        <v>40.26</v>
      </c>
      <c r="F8" s="5">
        <v>21.33</v>
      </c>
      <c r="H8" s="4" t="b">
        <f t="shared" ref="H8:M53" si="1">$B8=$A$4</f>
        <v>0</v>
      </c>
      <c r="I8" s="4" t="b">
        <f t="shared" si="0"/>
        <v>0</v>
      </c>
      <c r="J8" s="4" t="b">
        <f t="shared" si="0"/>
        <v>0</v>
      </c>
      <c r="K8" s="4" t="b">
        <f t="shared" si="0"/>
        <v>0</v>
      </c>
      <c r="L8" s="4" t="b">
        <f t="shared" si="0"/>
        <v>0</v>
      </c>
      <c r="M8" s="4" t="b">
        <f t="shared" si="0"/>
        <v>0</v>
      </c>
    </row>
    <row r="9" spans="1:13" x14ac:dyDescent="0.25">
      <c r="A9" s="2">
        <v>659447</v>
      </c>
      <c r="B9" s="3">
        <v>41279</v>
      </c>
      <c r="C9" s="4" t="s">
        <v>35</v>
      </c>
      <c r="D9" s="4" t="s">
        <v>14</v>
      </c>
      <c r="E9" s="5">
        <v>48.48</v>
      </c>
      <c r="F9" s="5">
        <v>25.2</v>
      </c>
      <c r="H9" s="4" t="b">
        <f t="shared" si="1"/>
        <v>1</v>
      </c>
      <c r="I9" s="4" t="b">
        <f t="shared" si="0"/>
        <v>1</v>
      </c>
      <c r="J9" s="4" t="b">
        <f t="shared" si="0"/>
        <v>1</v>
      </c>
      <c r="K9" s="4" t="b">
        <f t="shared" si="0"/>
        <v>1</v>
      </c>
      <c r="L9" s="4" t="b">
        <f t="shared" si="0"/>
        <v>1</v>
      </c>
      <c r="M9" s="4" t="b">
        <f t="shared" si="0"/>
        <v>1</v>
      </c>
    </row>
    <row r="10" spans="1:13" x14ac:dyDescent="0.25">
      <c r="A10" s="2">
        <v>659456</v>
      </c>
      <c r="B10" s="3">
        <v>41286</v>
      </c>
      <c r="C10" s="4" t="s">
        <v>6</v>
      </c>
      <c r="D10" s="4" t="s">
        <v>16</v>
      </c>
      <c r="E10" s="5">
        <v>51.24</v>
      </c>
      <c r="F10" s="5">
        <v>27.16</v>
      </c>
      <c r="H10" s="4" t="b">
        <f t="shared" si="1"/>
        <v>0</v>
      </c>
      <c r="I10" s="4" t="b">
        <f t="shared" si="0"/>
        <v>0</v>
      </c>
      <c r="J10" s="4" t="b">
        <f t="shared" si="0"/>
        <v>0</v>
      </c>
      <c r="K10" s="4" t="b">
        <f t="shared" si="0"/>
        <v>0</v>
      </c>
      <c r="L10" s="4" t="b">
        <f t="shared" si="0"/>
        <v>0</v>
      </c>
      <c r="M10" s="4" t="b">
        <f t="shared" si="0"/>
        <v>0</v>
      </c>
    </row>
    <row r="11" spans="1:13" x14ac:dyDescent="0.25">
      <c r="A11" s="2">
        <v>659457</v>
      </c>
      <c r="B11" s="3">
        <v>41286</v>
      </c>
      <c r="C11" s="4" t="s">
        <v>35</v>
      </c>
      <c r="D11" s="4" t="s">
        <v>14</v>
      </c>
      <c r="E11" s="5">
        <v>60.6</v>
      </c>
      <c r="F11" s="5">
        <v>28.5</v>
      </c>
      <c r="H11" s="4" t="b">
        <f t="shared" si="1"/>
        <v>0</v>
      </c>
      <c r="I11" s="4" t="b">
        <f t="shared" si="0"/>
        <v>0</v>
      </c>
      <c r="J11" s="4" t="b">
        <f t="shared" si="0"/>
        <v>0</v>
      </c>
      <c r="K11" s="4" t="b">
        <f t="shared" si="0"/>
        <v>0</v>
      </c>
      <c r="L11" s="4" t="b">
        <f t="shared" si="0"/>
        <v>0</v>
      </c>
      <c r="M11" s="4" t="b">
        <f t="shared" si="0"/>
        <v>0</v>
      </c>
    </row>
    <row r="12" spans="1:13" x14ac:dyDescent="0.25">
      <c r="A12" s="2">
        <v>659445</v>
      </c>
      <c r="B12" s="3">
        <v>41279</v>
      </c>
      <c r="C12" s="4" t="s">
        <v>35</v>
      </c>
      <c r="D12" s="4" t="s">
        <v>11</v>
      </c>
      <c r="E12" s="5">
        <v>114</v>
      </c>
      <c r="F12" s="5">
        <v>55.86</v>
      </c>
      <c r="H12" s="4" t="b">
        <f t="shared" si="1"/>
        <v>1</v>
      </c>
      <c r="I12" s="4" t="b">
        <f t="shared" si="0"/>
        <v>1</v>
      </c>
      <c r="J12" s="4" t="b">
        <f t="shared" si="0"/>
        <v>1</v>
      </c>
      <c r="K12" s="4" t="b">
        <f t="shared" si="0"/>
        <v>1</v>
      </c>
      <c r="L12" s="4" t="b">
        <f t="shared" si="0"/>
        <v>1</v>
      </c>
      <c r="M12" s="4" t="b">
        <f t="shared" si="0"/>
        <v>1</v>
      </c>
    </row>
    <row r="13" spans="1:13" x14ac:dyDescent="0.25">
      <c r="A13" s="2">
        <v>659459</v>
      </c>
      <c r="B13" s="3">
        <v>41288</v>
      </c>
      <c r="C13" s="4" t="s">
        <v>6</v>
      </c>
      <c r="D13" s="4" t="s">
        <v>16</v>
      </c>
      <c r="E13" s="5">
        <v>183</v>
      </c>
      <c r="F13" s="5">
        <v>95.2</v>
      </c>
      <c r="H13" s="4" t="b">
        <f t="shared" si="1"/>
        <v>0</v>
      </c>
      <c r="I13" s="4" t="b">
        <f t="shared" si="0"/>
        <v>0</v>
      </c>
      <c r="J13" s="4" t="b">
        <f t="shared" si="0"/>
        <v>0</v>
      </c>
      <c r="K13" s="4" t="b">
        <f t="shared" si="0"/>
        <v>0</v>
      </c>
      <c r="L13" s="4" t="b">
        <f t="shared" si="0"/>
        <v>0</v>
      </c>
      <c r="M13" s="4" t="b">
        <f t="shared" si="0"/>
        <v>0</v>
      </c>
    </row>
    <row r="14" spans="1:13" x14ac:dyDescent="0.25">
      <c r="A14" s="2">
        <v>659451</v>
      </c>
      <c r="B14" s="3">
        <v>41283</v>
      </c>
      <c r="C14" s="4" t="s">
        <v>6</v>
      </c>
      <c r="D14" s="4" t="s">
        <v>7</v>
      </c>
      <c r="E14" s="5">
        <v>203.04</v>
      </c>
      <c r="F14" s="5">
        <v>95.4</v>
      </c>
      <c r="H14" s="4" t="b">
        <f t="shared" si="1"/>
        <v>0</v>
      </c>
      <c r="I14" s="4" t="b">
        <f t="shared" si="0"/>
        <v>0</v>
      </c>
      <c r="J14" s="4" t="b">
        <f t="shared" si="0"/>
        <v>0</v>
      </c>
      <c r="K14" s="4" t="b">
        <f t="shared" si="0"/>
        <v>0</v>
      </c>
      <c r="L14" s="4" t="b">
        <f t="shared" si="0"/>
        <v>0</v>
      </c>
      <c r="M14" s="4" t="b">
        <f t="shared" si="0"/>
        <v>0</v>
      </c>
    </row>
    <row r="15" spans="1:13" x14ac:dyDescent="0.25">
      <c r="A15" s="2">
        <v>659455</v>
      </c>
      <c r="B15" s="3">
        <v>41285</v>
      </c>
      <c r="C15" s="4" t="s">
        <v>34</v>
      </c>
      <c r="D15" s="4" t="s">
        <v>5</v>
      </c>
      <c r="E15" s="5">
        <v>200.6</v>
      </c>
      <c r="F15" s="5">
        <v>106.32</v>
      </c>
      <c r="H15" s="4" t="b">
        <f t="shared" si="1"/>
        <v>0</v>
      </c>
      <c r="I15" s="4" t="b">
        <f t="shared" si="0"/>
        <v>0</v>
      </c>
      <c r="J15" s="4" t="b">
        <f t="shared" si="0"/>
        <v>0</v>
      </c>
      <c r="K15" s="4" t="b">
        <f t="shared" si="0"/>
        <v>0</v>
      </c>
      <c r="L15" s="4" t="b">
        <f t="shared" si="0"/>
        <v>0</v>
      </c>
      <c r="M15" s="4" t="b">
        <f t="shared" si="0"/>
        <v>0</v>
      </c>
    </row>
    <row r="16" spans="1:13" x14ac:dyDescent="0.25">
      <c r="A16" s="2">
        <v>659458</v>
      </c>
      <c r="B16" s="3">
        <v>41287</v>
      </c>
      <c r="C16" s="4" t="s">
        <v>6</v>
      </c>
      <c r="D16" s="4" t="s">
        <v>16</v>
      </c>
      <c r="E16" s="5">
        <v>207.36</v>
      </c>
      <c r="F16" s="5">
        <v>107.82</v>
      </c>
      <c r="H16" s="4" t="b">
        <f t="shared" si="1"/>
        <v>0</v>
      </c>
      <c r="I16" s="4" t="b">
        <f t="shared" si="0"/>
        <v>0</v>
      </c>
      <c r="J16" s="4" t="b">
        <f t="shared" si="0"/>
        <v>0</v>
      </c>
      <c r="K16" s="4" t="b">
        <f t="shared" si="0"/>
        <v>0</v>
      </c>
      <c r="L16" s="4" t="b">
        <f t="shared" si="0"/>
        <v>0</v>
      </c>
      <c r="M16" s="4" t="b">
        <f t="shared" si="0"/>
        <v>0</v>
      </c>
    </row>
    <row r="17" spans="1:13" x14ac:dyDescent="0.25">
      <c r="A17" s="2">
        <v>659455</v>
      </c>
      <c r="B17" s="3">
        <v>41285</v>
      </c>
      <c r="C17" s="4" t="s">
        <v>35</v>
      </c>
      <c r="D17" s="4" t="s">
        <v>11</v>
      </c>
      <c r="E17" s="5">
        <v>219.06</v>
      </c>
      <c r="F17" s="5">
        <v>118.3</v>
      </c>
      <c r="H17" s="4" t="b">
        <f t="shared" si="1"/>
        <v>0</v>
      </c>
      <c r="I17" s="4" t="b">
        <f t="shared" si="0"/>
        <v>0</v>
      </c>
      <c r="J17" s="4" t="b">
        <f t="shared" si="0"/>
        <v>0</v>
      </c>
      <c r="K17" s="4" t="b">
        <f t="shared" si="0"/>
        <v>0</v>
      </c>
      <c r="L17" s="4" t="b">
        <f t="shared" si="0"/>
        <v>0</v>
      </c>
      <c r="M17" s="4" t="b">
        <f t="shared" si="0"/>
        <v>0</v>
      </c>
    </row>
    <row r="18" spans="1:13" x14ac:dyDescent="0.25">
      <c r="A18" s="2">
        <v>659453</v>
      </c>
      <c r="B18" s="3">
        <v>41284</v>
      </c>
      <c r="C18" s="4" t="s">
        <v>6</v>
      </c>
      <c r="D18" s="4" t="s">
        <v>7</v>
      </c>
      <c r="E18" s="5">
        <v>241.28</v>
      </c>
      <c r="F18" s="5">
        <v>132.72</v>
      </c>
      <c r="H18" s="4" t="b">
        <f t="shared" si="1"/>
        <v>0</v>
      </c>
      <c r="I18" s="4" t="b">
        <f t="shared" si="0"/>
        <v>0</v>
      </c>
      <c r="J18" s="4" t="b">
        <f t="shared" si="0"/>
        <v>0</v>
      </c>
      <c r="K18" s="4" t="b">
        <f t="shared" si="0"/>
        <v>0</v>
      </c>
      <c r="L18" s="4" t="b">
        <f t="shared" si="0"/>
        <v>0</v>
      </c>
      <c r="M18" s="4" t="b">
        <f t="shared" si="0"/>
        <v>0</v>
      </c>
    </row>
    <row r="19" spans="1:13" x14ac:dyDescent="0.25">
      <c r="A19" s="2">
        <v>659451</v>
      </c>
      <c r="B19" s="3">
        <v>41283</v>
      </c>
      <c r="C19" s="4" t="s">
        <v>6</v>
      </c>
      <c r="D19" s="4" t="s">
        <v>16</v>
      </c>
      <c r="E19" s="5">
        <v>256.2</v>
      </c>
      <c r="F19" s="5">
        <v>140.9</v>
      </c>
      <c r="H19" s="4" t="b">
        <f t="shared" si="1"/>
        <v>0</v>
      </c>
      <c r="I19" s="4" t="b">
        <f t="shared" si="0"/>
        <v>0</v>
      </c>
      <c r="J19" s="4" t="b">
        <f t="shared" si="0"/>
        <v>0</v>
      </c>
      <c r="K19" s="4" t="b">
        <f t="shared" si="0"/>
        <v>0</v>
      </c>
      <c r="L19" s="4" t="b">
        <f t="shared" si="0"/>
        <v>0</v>
      </c>
      <c r="M19" s="4" t="b">
        <f t="shared" si="0"/>
        <v>0</v>
      </c>
    </row>
    <row r="20" spans="1:13" x14ac:dyDescent="0.25">
      <c r="A20" s="2">
        <v>659455</v>
      </c>
      <c r="B20" s="3">
        <v>41285</v>
      </c>
      <c r="C20" s="4" t="s">
        <v>35</v>
      </c>
      <c r="D20" s="4" t="s">
        <v>11</v>
      </c>
      <c r="E20" s="5">
        <v>368.72</v>
      </c>
      <c r="F20" s="5">
        <v>188.04</v>
      </c>
      <c r="H20" s="4" t="b">
        <f t="shared" si="1"/>
        <v>0</v>
      </c>
      <c r="I20" s="4" t="b">
        <f t="shared" si="0"/>
        <v>0</v>
      </c>
      <c r="J20" s="4" t="b">
        <f t="shared" si="0"/>
        <v>0</v>
      </c>
      <c r="K20" s="4" t="b">
        <f t="shared" si="0"/>
        <v>0</v>
      </c>
      <c r="L20" s="4" t="b">
        <f t="shared" si="0"/>
        <v>0</v>
      </c>
      <c r="M20" s="4" t="b">
        <f t="shared" si="0"/>
        <v>0</v>
      </c>
    </row>
    <row r="21" spans="1:13" x14ac:dyDescent="0.25">
      <c r="A21" s="2">
        <v>659440</v>
      </c>
      <c r="B21" s="3">
        <v>41276</v>
      </c>
      <c r="C21" s="4" t="s">
        <v>34</v>
      </c>
      <c r="D21" s="4" t="s">
        <v>8</v>
      </c>
      <c r="E21" s="5">
        <v>357.5</v>
      </c>
      <c r="F21" s="5">
        <v>193.06</v>
      </c>
      <c r="H21" s="4" t="b">
        <f t="shared" si="1"/>
        <v>0</v>
      </c>
      <c r="I21" s="4" t="b">
        <f t="shared" si="0"/>
        <v>0</v>
      </c>
      <c r="J21" s="4" t="b">
        <f t="shared" si="0"/>
        <v>0</v>
      </c>
      <c r="K21" s="4" t="b">
        <f t="shared" si="0"/>
        <v>0</v>
      </c>
      <c r="L21" s="4" t="b">
        <f t="shared" si="0"/>
        <v>0</v>
      </c>
      <c r="M21" s="4" t="b">
        <f t="shared" si="0"/>
        <v>0</v>
      </c>
    </row>
    <row r="22" spans="1:13" x14ac:dyDescent="0.25">
      <c r="A22" s="2">
        <v>659455</v>
      </c>
      <c r="B22" s="3">
        <v>41285</v>
      </c>
      <c r="C22" s="4" t="s">
        <v>6</v>
      </c>
      <c r="D22" s="4" t="s">
        <v>7</v>
      </c>
      <c r="E22" s="5">
        <v>394.8</v>
      </c>
      <c r="F22" s="5">
        <v>197.4</v>
      </c>
      <c r="H22" s="4" t="b">
        <f t="shared" si="1"/>
        <v>0</v>
      </c>
      <c r="I22" s="4" t="b">
        <f t="shared" si="0"/>
        <v>0</v>
      </c>
      <c r="J22" s="4" t="b">
        <f t="shared" si="0"/>
        <v>0</v>
      </c>
      <c r="K22" s="4" t="b">
        <f t="shared" si="0"/>
        <v>0</v>
      </c>
      <c r="L22" s="4" t="b">
        <f t="shared" si="0"/>
        <v>0</v>
      </c>
      <c r="M22" s="4" t="b">
        <f t="shared" si="0"/>
        <v>0</v>
      </c>
    </row>
    <row r="23" spans="1:13" x14ac:dyDescent="0.25">
      <c r="A23" s="2">
        <v>659440</v>
      </c>
      <c r="B23" s="3">
        <v>41276</v>
      </c>
      <c r="C23" s="4" t="s">
        <v>6</v>
      </c>
      <c r="D23" s="4" t="s">
        <v>7</v>
      </c>
      <c r="E23" s="5">
        <v>451.2</v>
      </c>
      <c r="F23" s="5">
        <v>212.08</v>
      </c>
      <c r="H23" s="4" t="b">
        <f t="shared" si="1"/>
        <v>0</v>
      </c>
      <c r="I23" s="4" t="b">
        <f t="shared" si="1"/>
        <v>0</v>
      </c>
      <c r="J23" s="4" t="b">
        <f t="shared" si="1"/>
        <v>0</v>
      </c>
      <c r="K23" s="4" t="b">
        <f t="shared" si="1"/>
        <v>0</v>
      </c>
      <c r="L23" s="4" t="b">
        <f t="shared" si="1"/>
        <v>0</v>
      </c>
      <c r="M23" s="4" t="b">
        <f t="shared" si="1"/>
        <v>0</v>
      </c>
    </row>
    <row r="24" spans="1:13" x14ac:dyDescent="0.25">
      <c r="A24" s="2">
        <v>659444</v>
      </c>
      <c r="B24" s="3">
        <v>41279</v>
      </c>
      <c r="C24" s="4" t="s">
        <v>34</v>
      </c>
      <c r="D24" s="4" t="s">
        <v>10</v>
      </c>
      <c r="E24" s="5">
        <v>464.96</v>
      </c>
      <c r="F24" s="5">
        <v>237.12</v>
      </c>
      <c r="H24" s="4" t="b">
        <f t="shared" si="1"/>
        <v>1</v>
      </c>
      <c r="I24" s="4" t="b">
        <f t="shared" si="1"/>
        <v>1</v>
      </c>
      <c r="J24" s="4" t="b">
        <f t="shared" si="1"/>
        <v>1</v>
      </c>
      <c r="K24" s="4" t="b">
        <f t="shared" si="1"/>
        <v>1</v>
      </c>
      <c r="L24" s="4" t="b">
        <f t="shared" si="1"/>
        <v>1</v>
      </c>
      <c r="M24" s="4" t="b">
        <f t="shared" si="1"/>
        <v>1</v>
      </c>
    </row>
    <row r="25" spans="1:13" x14ac:dyDescent="0.25">
      <c r="A25" s="2">
        <v>659456</v>
      </c>
      <c r="B25" s="3">
        <v>41286</v>
      </c>
      <c r="C25" s="4" t="s">
        <v>35</v>
      </c>
      <c r="D25" s="4" t="s">
        <v>12</v>
      </c>
      <c r="E25" s="5">
        <v>495</v>
      </c>
      <c r="F25" s="5">
        <v>237.6</v>
      </c>
      <c r="H25" s="4" t="b">
        <f t="shared" si="1"/>
        <v>0</v>
      </c>
      <c r="I25" s="4" t="b">
        <f t="shared" si="1"/>
        <v>0</v>
      </c>
      <c r="J25" s="4" t="b">
        <f t="shared" si="1"/>
        <v>0</v>
      </c>
      <c r="K25" s="4" t="b">
        <f t="shared" si="1"/>
        <v>0</v>
      </c>
      <c r="L25" s="4" t="b">
        <f t="shared" si="1"/>
        <v>0</v>
      </c>
      <c r="M25" s="4" t="b">
        <f t="shared" si="1"/>
        <v>0</v>
      </c>
    </row>
    <row r="26" spans="1:13" x14ac:dyDescent="0.25">
      <c r="A26" s="2">
        <v>659443</v>
      </c>
      <c r="B26" s="3">
        <v>41279</v>
      </c>
      <c r="C26" s="4" t="s">
        <v>34</v>
      </c>
      <c r="D26" s="4" t="s">
        <v>10</v>
      </c>
      <c r="E26" s="5">
        <v>503.1</v>
      </c>
      <c r="F26" s="5">
        <v>251.56</v>
      </c>
      <c r="H26" s="4" t="b">
        <f t="shared" si="1"/>
        <v>1</v>
      </c>
      <c r="I26" s="4" t="b">
        <f t="shared" si="1"/>
        <v>1</v>
      </c>
      <c r="J26" s="4" t="b">
        <f t="shared" si="1"/>
        <v>1</v>
      </c>
      <c r="K26" s="4" t="b">
        <f t="shared" si="1"/>
        <v>1</v>
      </c>
      <c r="L26" s="4" t="b">
        <f t="shared" si="1"/>
        <v>1</v>
      </c>
      <c r="M26" s="4" t="b">
        <f t="shared" si="1"/>
        <v>1</v>
      </c>
    </row>
    <row r="27" spans="1:13" x14ac:dyDescent="0.25">
      <c r="A27" s="2">
        <v>659441</v>
      </c>
      <c r="B27" s="3">
        <v>41277</v>
      </c>
      <c r="C27" s="4" t="s">
        <v>34</v>
      </c>
      <c r="D27" s="4" t="s">
        <v>5</v>
      </c>
      <c r="E27" s="5">
        <v>561.67999999999995</v>
      </c>
      <c r="F27" s="5">
        <v>303.31</v>
      </c>
      <c r="H27" s="4" t="b">
        <f t="shared" si="1"/>
        <v>0</v>
      </c>
      <c r="I27" s="4" t="b">
        <f t="shared" si="1"/>
        <v>0</v>
      </c>
      <c r="J27" s="4" t="b">
        <f t="shared" si="1"/>
        <v>0</v>
      </c>
      <c r="K27" s="4" t="b">
        <f t="shared" si="1"/>
        <v>0</v>
      </c>
      <c r="L27" s="4" t="b">
        <f t="shared" si="1"/>
        <v>0</v>
      </c>
      <c r="M27" s="4" t="b">
        <f t="shared" si="1"/>
        <v>0</v>
      </c>
    </row>
    <row r="28" spans="1:13" x14ac:dyDescent="0.25">
      <c r="A28" s="2">
        <v>659449</v>
      </c>
      <c r="B28" s="3">
        <v>41281</v>
      </c>
      <c r="C28" s="4" t="s">
        <v>34</v>
      </c>
      <c r="D28" s="4" t="s">
        <v>13</v>
      </c>
      <c r="E28" s="5">
        <v>611.41999999999996</v>
      </c>
      <c r="F28" s="5">
        <v>324.06</v>
      </c>
      <c r="H28" s="4" t="b">
        <f t="shared" si="1"/>
        <v>0</v>
      </c>
      <c r="I28" s="4" t="b">
        <f t="shared" si="1"/>
        <v>0</v>
      </c>
      <c r="J28" s="4" t="b">
        <f t="shared" si="1"/>
        <v>0</v>
      </c>
      <c r="K28" s="4" t="b">
        <f t="shared" si="1"/>
        <v>0</v>
      </c>
      <c r="L28" s="4" t="b">
        <f t="shared" si="1"/>
        <v>0</v>
      </c>
      <c r="M28" s="4" t="b">
        <f t="shared" si="1"/>
        <v>0</v>
      </c>
    </row>
    <row r="29" spans="1:13" x14ac:dyDescent="0.25">
      <c r="A29" s="2">
        <v>659455</v>
      </c>
      <c r="B29" s="3">
        <v>41285</v>
      </c>
      <c r="C29" s="4" t="s">
        <v>35</v>
      </c>
      <c r="D29" s="4" t="s">
        <v>11</v>
      </c>
      <c r="E29" s="5">
        <v>670.4</v>
      </c>
      <c r="F29" s="5">
        <v>341.92</v>
      </c>
      <c r="H29" s="4" t="b">
        <f t="shared" si="1"/>
        <v>0</v>
      </c>
      <c r="I29" s="4" t="b">
        <f t="shared" si="1"/>
        <v>0</v>
      </c>
      <c r="J29" s="4" t="b">
        <f t="shared" si="1"/>
        <v>0</v>
      </c>
      <c r="K29" s="4" t="b">
        <f t="shared" si="1"/>
        <v>0</v>
      </c>
      <c r="L29" s="4" t="b">
        <f t="shared" si="1"/>
        <v>0</v>
      </c>
      <c r="M29" s="4" t="b">
        <f t="shared" si="1"/>
        <v>0</v>
      </c>
    </row>
    <row r="30" spans="1:13" x14ac:dyDescent="0.2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4" t="b">
        <f t="shared" si="1"/>
        <v>0</v>
      </c>
      <c r="I30" s="4" t="b">
        <f t="shared" si="1"/>
        <v>0</v>
      </c>
      <c r="J30" s="4" t="b">
        <f t="shared" si="1"/>
        <v>0</v>
      </c>
      <c r="K30" s="4" t="b">
        <f t="shared" si="1"/>
        <v>0</v>
      </c>
      <c r="L30" s="4" t="b">
        <f t="shared" si="1"/>
        <v>0</v>
      </c>
      <c r="M30" s="4" t="b">
        <f t="shared" si="1"/>
        <v>0</v>
      </c>
    </row>
    <row r="31" spans="1:13" x14ac:dyDescent="0.25">
      <c r="A31" s="2">
        <v>659446</v>
      </c>
      <c r="B31" s="3">
        <v>41279</v>
      </c>
      <c r="C31" s="4" t="s">
        <v>35</v>
      </c>
      <c r="D31" s="4" t="s">
        <v>11</v>
      </c>
      <c r="E31" s="5">
        <v>730.2</v>
      </c>
      <c r="F31" s="5">
        <v>365.1</v>
      </c>
      <c r="H31" s="4" t="b">
        <f t="shared" si="1"/>
        <v>1</v>
      </c>
      <c r="I31" s="4" t="b">
        <f t="shared" si="1"/>
        <v>1</v>
      </c>
      <c r="J31" s="4" t="b">
        <f t="shared" si="1"/>
        <v>1</v>
      </c>
      <c r="K31" s="4" t="b">
        <f t="shared" si="1"/>
        <v>1</v>
      </c>
      <c r="L31" s="4" t="b">
        <f t="shared" si="1"/>
        <v>1</v>
      </c>
      <c r="M31" s="4" t="b">
        <f t="shared" si="1"/>
        <v>1</v>
      </c>
    </row>
    <row r="32" spans="1:13" x14ac:dyDescent="0.25">
      <c r="A32" s="2">
        <v>659446</v>
      </c>
      <c r="B32" s="3">
        <v>41279</v>
      </c>
      <c r="C32" s="4" t="s">
        <v>35</v>
      </c>
      <c r="D32" s="4" t="s">
        <v>12</v>
      </c>
      <c r="E32" s="5">
        <v>1008.72</v>
      </c>
      <c r="F32" s="5">
        <v>504.36</v>
      </c>
      <c r="H32" s="4" t="b">
        <f t="shared" si="1"/>
        <v>1</v>
      </c>
      <c r="I32" s="4" t="b">
        <f t="shared" si="1"/>
        <v>1</v>
      </c>
      <c r="J32" s="4" t="b">
        <f t="shared" si="1"/>
        <v>1</v>
      </c>
      <c r="K32" s="4" t="b">
        <f t="shared" si="1"/>
        <v>1</v>
      </c>
      <c r="L32" s="4" t="b">
        <f t="shared" si="1"/>
        <v>1</v>
      </c>
      <c r="M32" s="4" t="b">
        <f t="shared" si="1"/>
        <v>1</v>
      </c>
    </row>
    <row r="33" spans="1:13" x14ac:dyDescent="0.25">
      <c r="A33" s="2">
        <v>659450</v>
      </c>
      <c r="B33" s="3">
        <v>41282</v>
      </c>
      <c r="C33" s="4" t="s">
        <v>34</v>
      </c>
      <c r="D33" s="4" t="s">
        <v>5</v>
      </c>
      <c r="E33" s="5">
        <v>962.88</v>
      </c>
      <c r="F33" s="5">
        <v>510.32</v>
      </c>
      <c r="H33" s="4" t="b">
        <f t="shared" si="1"/>
        <v>0</v>
      </c>
      <c r="I33" s="4" t="b">
        <f t="shared" si="1"/>
        <v>0</v>
      </c>
      <c r="J33" s="4" t="b">
        <f t="shared" si="1"/>
        <v>0</v>
      </c>
      <c r="K33" s="4" t="b">
        <f t="shared" si="1"/>
        <v>0</v>
      </c>
      <c r="L33" s="4" t="b">
        <f t="shared" si="1"/>
        <v>0</v>
      </c>
      <c r="M33" s="4" t="b">
        <f t="shared" si="1"/>
        <v>0</v>
      </c>
    </row>
    <row r="34" spans="1:13" x14ac:dyDescent="0.25">
      <c r="A34" s="2">
        <v>659456</v>
      </c>
      <c r="B34" s="3">
        <v>41286</v>
      </c>
      <c r="C34" s="4" t="s">
        <v>34</v>
      </c>
      <c r="D34" s="4" t="s">
        <v>13</v>
      </c>
      <c r="E34" s="5">
        <v>1150</v>
      </c>
      <c r="F34" s="5">
        <v>552</v>
      </c>
      <c r="H34" s="4" t="b">
        <f t="shared" si="1"/>
        <v>0</v>
      </c>
      <c r="I34" s="4" t="b">
        <f t="shared" si="1"/>
        <v>0</v>
      </c>
      <c r="J34" s="4" t="b">
        <f t="shared" si="1"/>
        <v>0</v>
      </c>
      <c r="K34" s="4" t="b">
        <f t="shared" si="1"/>
        <v>0</v>
      </c>
      <c r="L34" s="4" t="b">
        <f t="shared" si="1"/>
        <v>0</v>
      </c>
      <c r="M34" s="4" t="b">
        <f t="shared" si="1"/>
        <v>0</v>
      </c>
    </row>
    <row r="35" spans="1:13" x14ac:dyDescent="0.25">
      <c r="A35" s="2">
        <v>659439</v>
      </c>
      <c r="B35" s="3">
        <v>41275</v>
      </c>
      <c r="C35" s="4" t="s">
        <v>34</v>
      </c>
      <c r="D35" s="4" t="s">
        <v>5</v>
      </c>
      <c r="E35" s="5">
        <v>1232.44</v>
      </c>
      <c r="F35" s="5">
        <v>591.58000000000004</v>
      </c>
      <c r="H35" s="4" t="b">
        <f t="shared" si="1"/>
        <v>0</v>
      </c>
      <c r="I35" s="4" t="b">
        <f t="shared" si="1"/>
        <v>0</v>
      </c>
      <c r="J35" s="4" t="b">
        <f t="shared" si="1"/>
        <v>0</v>
      </c>
      <c r="K35" s="4" t="b">
        <f t="shared" si="1"/>
        <v>0</v>
      </c>
      <c r="L35" s="4" t="b">
        <f t="shared" si="1"/>
        <v>0</v>
      </c>
      <c r="M35" s="4" t="b">
        <f t="shared" si="1"/>
        <v>0</v>
      </c>
    </row>
    <row r="36" spans="1:13" x14ac:dyDescent="0.25">
      <c r="A36" s="2">
        <v>659458</v>
      </c>
      <c r="B36" s="3">
        <v>41287</v>
      </c>
      <c r="C36" s="4" t="s">
        <v>6</v>
      </c>
      <c r="D36" s="4" t="s">
        <v>17</v>
      </c>
      <c r="E36" s="5">
        <v>1316.7</v>
      </c>
      <c r="F36" s="5">
        <v>618.84</v>
      </c>
      <c r="H36" s="4" t="b">
        <f t="shared" si="1"/>
        <v>0</v>
      </c>
      <c r="I36" s="4" t="b">
        <f t="shared" si="1"/>
        <v>0</v>
      </c>
      <c r="J36" s="4" t="b">
        <f t="shared" si="1"/>
        <v>0</v>
      </c>
      <c r="K36" s="4" t="b">
        <f t="shared" si="1"/>
        <v>0</v>
      </c>
      <c r="L36" s="4" t="b">
        <f t="shared" si="1"/>
        <v>0</v>
      </c>
      <c r="M36" s="4" t="b">
        <f t="shared" si="1"/>
        <v>0</v>
      </c>
    </row>
    <row r="37" spans="1:13" x14ac:dyDescent="0.25">
      <c r="A37" s="2">
        <v>659452</v>
      </c>
      <c r="B37" s="3">
        <v>41284</v>
      </c>
      <c r="C37" s="4" t="s">
        <v>35</v>
      </c>
      <c r="D37" s="4" t="s">
        <v>14</v>
      </c>
      <c r="E37" s="5">
        <v>1360</v>
      </c>
      <c r="F37" s="5">
        <v>639.20000000000005</v>
      </c>
      <c r="H37" s="4" t="b">
        <f t="shared" si="1"/>
        <v>0</v>
      </c>
      <c r="I37" s="4" t="b">
        <f t="shared" si="1"/>
        <v>0</v>
      </c>
      <c r="J37" s="4" t="b">
        <f t="shared" si="1"/>
        <v>0</v>
      </c>
      <c r="K37" s="4" t="b">
        <f t="shared" si="1"/>
        <v>0</v>
      </c>
      <c r="L37" s="4" t="b">
        <f t="shared" si="1"/>
        <v>0</v>
      </c>
      <c r="M37" s="4" t="b">
        <f t="shared" si="1"/>
        <v>0</v>
      </c>
    </row>
    <row r="38" spans="1:13" x14ac:dyDescent="0.25">
      <c r="A38" s="2">
        <v>659455</v>
      </c>
      <c r="B38" s="3">
        <v>41285</v>
      </c>
      <c r="C38" s="4" t="s">
        <v>35</v>
      </c>
      <c r="D38" s="4" t="s">
        <v>14</v>
      </c>
      <c r="E38" s="5">
        <v>1632</v>
      </c>
      <c r="F38" s="5">
        <v>767.04</v>
      </c>
      <c r="H38" s="4" t="b">
        <f t="shared" si="1"/>
        <v>0</v>
      </c>
      <c r="I38" s="4" t="b">
        <f t="shared" si="1"/>
        <v>0</v>
      </c>
      <c r="J38" s="4" t="b">
        <f t="shared" si="1"/>
        <v>0</v>
      </c>
      <c r="K38" s="4" t="b">
        <f t="shared" si="1"/>
        <v>0</v>
      </c>
      <c r="L38" s="4" t="b">
        <f t="shared" si="1"/>
        <v>0</v>
      </c>
      <c r="M38" s="4" t="b">
        <f t="shared" si="1"/>
        <v>0</v>
      </c>
    </row>
    <row r="39" spans="1:13" x14ac:dyDescent="0.25">
      <c r="A39" s="2">
        <v>659445</v>
      </c>
      <c r="B39" s="3">
        <v>41279</v>
      </c>
      <c r="C39" s="4" t="s">
        <v>34</v>
      </c>
      <c r="D39" s="4" t="s">
        <v>8</v>
      </c>
      <c r="E39" s="5">
        <v>1650</v>
      </c>
      <c r="F39" s="5">
        <v>792</v>
      </c>
      <c r="H39" s="4" t="b">
        <f t="shared" si="1"/>
        <v>1</v>
      </c>
      <c r="I39" s="4" t="b">
        <f t="shared" si="1"/>
        <v>1</v>
      </c>
      <c r="J39" s="4" t="b">
        <f t="shared" si="1"/>
        <v>1</v>
      </c>
      <c r="K39" s="4" t="b">
        <f t="shared" si="1"/>
        <v>1</v>
      </c>
      <c r="L39" s="4" t="b">
        <f t="shared" si="1"/>
        <v>1</v>
      </c>
      <c r="M39" s="4" t="b">
        <f t="shared" si="1"/>
        <v>1</v>
      </c>
    </row>
    <row r="40" spans="1:13" x14ac:dyDescent="0.25">
      <c r="A40" s="2">
        <v>659454</v>
      </c>
      <c r="B40" s="3">
        <v>41285</v>
      </c>
      <c r="C40" s="4" t="s">
        <v>35</v>
      </c>
      <c r="D40" s="4" t="s">
        <v>12</v>
      </c>
      <c r="E40" s="5">
        <v>1672</v>
      </c>
      <c r="F40" s="5">
        <v>819.28</v>
      </c>
      <c r="H40" s="4" t="b">
        <f t="shared" si="1"/>
        <v>0</v>
      </c>
      <c r="I40" s="4" t="b">
        <f t="shared" si="1"/>
        <v>0</v>
      </c>
      <c r="J40" s="4" t="b">
        <f t="shared" si="1"/>
        <v>0</v>
      </c>
      <c r="K40" s="4" t="b">
        <f t="shared" si="1"/>
        <v>0</v>
      </c>
      <c r="L40" s="4" t="b">
        <f t="shared" si="1"/>
        <v>0</v>
      </c>
      <c r="M40" s="4" t="b">
        <f t="shared" si="1"/>
        <v>0</v>
      </c>
    </row>
    <row r="41" spans="1:13" x14ac:dyDescent="0.25">
      <c r="A41" s="2">
        <v>659447</v>
      </c>
      <c r="B41" s="3">
        <v>41279</v>
      </c>
      <c r="C41" s="4" t="s">
        <v>35</v>
      </c>
      <c r="D41" s="4" t="s">
        <v>15</v>
      </c>
      <c r="E41" s="5">
        <v>1664</v>
      </c>
      <c r="F41" s="5">
        <v>881.92</v>
      </c>
      <c r="H41" s="4" t="b">
        <f t="shared" si="1"/>
        <v>1</v>
      </c>
      <c r="I41" s="4" t="b">
        <f t="shared" si="1"/>
        <v>1</v>
      </c>
      <c r="J41" s="4" t="b">
        <f t="shared" si="1"/>
        <v>1</v>
      </c>
      <c r="K41" s="4" t="b">
        <f t="shared" si="1"/>
        <v>1</v>
      </c>
      <c r="L41" s="4" t="b">
        <f t="shared" si="1"/>
        <v>1</v>
      </c>
      <c r="M41" s="4" t="b">
        <f t="shared" si="1"/>
        <v>1</v>
      </c>
    </row>
    <row r="42" spans="1:13" x14ac:dyDescent="0.25">
      <c r="A42" s="2">
        <v>659441</v>
      </c>
      <c r="B42" s="3">
        <v>41277</v>
      </c>
      <c r="C42" s="4" t="s">
        <v>34</v>
      </c>
      <c r="D42" s="4" t="s">
        <v>8</v>
      </c>
      <c r="E42" s="5">
        <v>1980</v>
      </c>
      <c r="F42" s="5">
        <v>990</v>
      </c>
      <c r="H42" s="4" t="b">
        <f t="shared" si="1"/>
        <v>0</v>
      </c>
      <c r="I42" s="4" t="b">
        <f t="shared" si="1"/>
        <v>0</v>
      </c>
      <c r="J42" s="4" t="b">
        <f t="shared" si="1"/>
        <v>0</v>
      </c>
      <c r="K42" s="4" t="b">
        <f t="shared" si="1"/>
        <v>0</v>
      </c>
      <c r="L42" s="4" t="b">
        <f t="shared" si="1"/>
        <v>0</v>
      </c>
      <c r="M42" s="4" t="b">
        <f t="shared" si="1"/>
        <v>0</v>
      </c>
    </row>
    <row r="43" spans="1:13" x14ac:dyDescent="0.25">
      <c r="A43" s="2">
        <v>659440</v>
      </c>
      <c r="B43" s="3">
        <v>41276</v>
      </c>
      <c r="C43" s="4" t="s">
        <v>6</v>
      </c>
      <c r="D43" s="4" t="s">
        <v>9</v>
      </c>
      <c r="E43" s="5">
        <v>1957.6</v>
      </c>
      <c r="F43" s="5">
        <v>1037.55</v>
      </c>
      <c r="H43" s="4" t="b">
        <f t="shared" si="1"/>
        <v>0</v>
      </c>
      <c r="I43" s="4" t="b">
        <f t="shared" si="1"/>
        <v>0</v>
      </c>
      <c r="J43" s="4" t="b">
        <f t="shared" si="1"/>
        <v>0</v>
      </c>
      <c r="K43" s="4" t="b">
        <f t="shared" si="1"/>
        <v>0</v>
      </c>
      <c r="L43" s="4" t="b">
        <f t="shared" si="1"/>
        <v>0</v>
      </c>
      <c r="M43" s="4" t="b">
        <f t="shared" si="1"/>
        <v>0</v>
      </c>
    </row>
    <row r="44" spans="1:13" x14ac:dyDescent="0.25">
      <c r="A44" s="2">
        <v>659446</v>
      </c>
      <c r="B44" s="3">
        <v>41279</v>
      </c>
      <c r="C44" s="4" t="s">
        <v>34</v>
      </c>
      <c r="D44" s="4" t="s">
        <v>5</v>
      </c>
      <c r="E44" s="5">
        <v>2304</v>
      </c>
      <c r="F44" s="5">
        <v>1082.8800000000001</v>
      </c>
      <c r="H44" s="4" t="b">
        <f t="shared" si="1"/>
        <v>1</v>
      </c>
      <c r="I44" s="4" t="b">
        <f t="shared" si="1"/>
        <v>1</v>
      </c>
      <c r="J44" s="4" t="b">
        <f t="shared" si="1"/>
        <v>1</v>
      </c>
      <c r="K44" s="4" t="b">
        <f t="shared" si="1"/>
        <v>1</v>
      </c>
      <c r="L44" s="4" t="b">
        <f t="shared" si="1"/>
        <v>1</v>
      </c>
      <c r="M44" s="4" t="b">
        <f t="shared" si="1"/>
        <v>1</v>
      </c>
    </row>
    <row r="45" spans="1:13" x14ac:dyDescent="0.25">
      <c r="A45" s="2">
        <v>659457</v>
      </c>
      <c r="B45" s="3">
        <v>41286</v>
      </c>
      <c r="C45" s="4" t="s">
        <v>35</v>
      </c>
      <c r="D45" s="4" t="s">
        <v>11</v>
      </c>
      <c r="E45" s="5">
        <v>2394</v>
      </c>
      <c r="F45" s="5">
        <v>1292.76</v>
      </c>
      <c r="H45" s="4" t="b">
        <f t="shared" si="1"/>
        <v>0</v>
      </c>
      <c r="I45" s="4" t="b">
        <f t="shared" si="1"/>
        <v>0</v>
      </c>
      <c r="J45" s="4" t="b">
        <f t="shared" si="1"/>
        <v>0</v>
      </c>
      <c r="K45" s="4" t="b">
        <f t="shared" si="1"/>
        <v>0</v>
      </c>
      <c r="L45" s="4" t="b">
        <f t="shared" si="1"/>
        <v>0</v>
      </c>
      <c r="M45" s="4" t="b">
        <f t="shared" si="1"/>
        <v>0</v>
      </c>
    </row>
    <row r="46" spans="1:13" x14ac:dyDescent="0.25">
      <c r="A46" s="2">
        <v>659446</v>
      </c>
      <c r="B46" s="3">
        <v>41279</v>
      </c>
      <c r="C46" s="4" t="s">
        <v>34</v>
      </c>
      <c r="D46" s="4" t="s">
        <v>5</v>
      </c>
      <c r="E46" s="5">
        <v>2744.98</v>
      </c>
      <c r="F46" s="5">
        <v>1317.61</v>
      </c>
      <c r="H46" s="4" t="b">
        <f t="shared" si="1"/>
        <v>1</v>
      </c>
      <c r="I46" s="4" t="b">
        <f t="shared" si="1"/>
        <v>1</v>
      </c>
      <c r="J46" s="4" t="b">
        <f t="shared" si="1"/>
        <v>1</v>
      </c>
      <c r="K46" s="4" t="b">
        <f t="shared" si="1"/>
        <v>1</v>
      </c>
      <c r="L46" s="4" t="b">
        <f t="shared" si="1"/>
        <v>1</v>
      </c>
      <c r="M46" s="4" t="b">
        <f t="shared" si="1"/>
        <v>1</v>
      </c>
    </row>
    <row r="47" spans="1:13" x14ac:dyDescent="0.25">
      <c r="A47" s="2">
        <v>659455</v>
      </c>
      <c r="B47" s="3">
        <v>41285</v>
      </c>
      <c r="C47" s="4" t="s">
        <v>34</v>
      </c>
      <c r="D47" s="4" t="s">
        <v>10</v>
      </c>
      <c r="E47" s="5">
        <v>2631.6</v>
      </c>
      <c r="F47" s="5">
        <v>1421.04</v>
      </c>
      <c r="H47" s="4" t="b">
        <f t="shared" si="1"/>
        <v>0</v>
      </c>
      <c r="I47" s="4" t="b">
        <f t="shared" si="1"/>
        <v>0</v>
      </c>
      <c r="J47" s="4" t="b">
        <f t="shared" si="1"/>
        <v>0</v>
      </c>
      <c r="K47" s="4" t="b">
        <f t="shared" si="1"/>
        <v>0</v>
      </c>
      <c r="L47" s="4" t="b">
        <f t="shared" si="1"/>
        <v>0</v>
      </c>
      <c r="M47" s="4" t="b">
        <f t="shared" si="1"/>
        <v>0</v>
      </c>
    </row>
    <row r="48" spans="1:13" x14ac:dyDescent="0.25">
      <c r="A48" s="2">
        <v>659442</v>
      </c>
      <c r="B48" s="3">
        <v>41278</v>
      </c>
      <c r="C48" s="4" t="s">
        <v>34</v>
      </c>
      <c r="D48" s="4" t="s">
        <v>5</v>
      </c>
      <c r="E48" s="5">
        <v>2772</v>
      </c>
      <c r="F48" s="5">
        <v>1469.16</v>
      </c>
      <c r="H48" s="4" t="b">
        <f t="shared" si="1"/>
        <v>0</v>
      </c>
      <c r="I48" s="4" t="b">
        <f t="shared" si="1"/>
        <v>0</v>
      </c>
      <c r="J48" s="4" t="b">
        <f t="shared" si="1"/>
        <v>0</v>
      </c>
      <c r="K48" s="4" t="b">
        <f t="shared" si="1"/>
        <v>0</v>
      </c>
      <c r="L48" s="4" t="b">
        <f t="shared" si="1"/>
        <v>0</v>
      </c>
      <c r="M48" s="4" t="b">
        <f t="shared" si="1"/>
        <v>0</v>
      </c>
    </row>
    <row r="49" spans="1:13" x14ac:dyDescent="0.25">
      <c r="A49" s="2">
        <v>659446</v>
      </c>
      <c r="B49" s="3">
        <v>41279</v>
      </c>
      <c r="C49" s="4" t="s">
        <v>34</v>
      </c>
      <c r="D49" s="4" t="s">
        <v>5</v>
      </c>
      <c r="E49" s="5">
        <v>3361.2</v>
      </c>
      <c r="F49" s="5">
        <v>1579.75</v>
      </c>
      <c r="H49" s="4" t="b">
        <f t="shared" si="1"/>
        <v>1</v>
      </c>
      <c r="I49" s="4" t="b">
        <f t="shared" si="1"/>
        <v>1</v>
      </c>
      <c r="J49" s="4" t="b">
        <f t="shared" si="1"/>
        <v>1</v>
      </c>
      <c r="K49" s="4" t="b">
        <f t="shared" si="1"/>
        <v>1</v>
      </c>
      <c r="L49" s="4" t="b">
        <f t="shared" si="1"/>
        <v>1</v>
      </c>
      <c r="M49" s="4" t="b">
        <f t="shared" si="1"/>
        <v>1</v>
      </c>
    </row>
    <row r="50" spans="1:13" x14ac:dyDescent="0.25">
      <c r="A50" s="2">
        <v>659446</v>
      </c>
      <c r="B50" s="3">
        <v>41279</v>
      </c>
      <c r="C50" s="4" t="s">
        <v>34</v>
      </c>
      <c r="D50" s="4" t="s">
        <v>13</v>
      </c>
      <c r="E50" s="5">
        <v>3174</v>
      </c>
      <c r="F50" s="5">
        <v>1713.96</v>
      </c>
      <c r="H50" s="4" t="b">
        <f t="shared" si="1"/>
        <v>1</v>
      </c>
      <c r="I50" s="4" t="b">
        <f t="shared" si="1"/>
        <v>1</v>
      </c>
      <c r="J50" s="4" t="b">
        <f t="shared" si="1"/>
        <v>1</v>
      </c>
      <c r="K50" s="4" t="b">
        <f t="shared" si="1"/>
        <v>1</v>
      </c>
      <c r="L50" s="4" t="b">
        <f t="shared" si="1"/>
        <v>1</v>
      </c>
      <c r="M50" s="4" t="b">
        <f t="shared" si="1"/>
        <v>1</v>
      </c>
    </row>
    <row r="51" spans="1:13" x14ac:dyDescent="0.25">
      <c r="A51" s="2">
        <v>659444</v>
      </c>
      <c r="B51" s="3">
        <v>41279</v>
      </c>
      <c r="C51" s="4" t="s">
        <v>6</v>
      </c>
      <c r="D51" s="4" t="s">
        <v>9</v>
      </c>
      <c r="E51" s="5">
        <v>3938.4</v>
      </c>
      <c r="F51" s="5">
        <v>1890.4</v>
      </c>
      <c r="H51" s="4" t="b">
        <f t="shared" si="1"/>
        <v>1</v>
      </c>
      <c r="I51" s="4" t="b">
        <f t="shared" si="1"/>
        <v>1</v>
      </c>
      <c r="J51" s="4" t="b">
        <f t="shared" si="1"/>
        <v>1</v>
      </c>
      <c r="K51" s="4" t="b">
        <f t="shared" si="1"/>
        <v>1</v>
      </c>
      <c r="L51" s="4" t="b">
        <f t="shared" si="1"/>
        <v>1</v>
      </c>
      <c r="M51" s="4" t="b">
        <f t="shared" si="1"/>
        <v>1</v>
      </c>
    </row>
    <row r="52" spans="1:13" x14ac:dyDescent="0.25">
      <c r="A52" s="2">
        <v>659453</v>
      </c>
      <c r="B52" s="3">
        <v>41284</v>
      </c>
      <c r="C52" s="4" t="s">
        <v>6</v>
      </c>
      <c r="D52" s="4" t="s">
        <v>17</v>
      </c>
      <c r="E52" s="5">
        <v>4309.2</v>
      </c>
      <c r="F52" s="5">
        <v>2326.9499999999998</v>
      </c>
      <c r="H52" s="4" t="b">
        <f t="shared" si="1"/>
        <v>0</v>
      </c>
      <c r="I52" s="4" t="b">
        <f t="shared" si="1"/>
        <v>0</v>
      </c>
      <c r="J52" s="4" t="b">
        <f t="shared" si="1"/>
        <v>0</v>
      </c>
      <c r="K52" s="4" t="b">
        <f t="shared" si="1"/>
        <v>0</v>
      </c>
      <c r="L52" s="4" t="b">
        <f t="shared" si="1"/>
        <v>0</v>
      </c>
      <c r="M52" s="4" t="b">
        <f t="shared" si="1"/>
        <v>0</v>
      </c>
    </row>
    <row r="53" spans="1:13" x14ac:dyDescent="0.25">
      <c r="A53" s="2">
        <v>659443</v>
      </c>
      <c r="B53" s="3">
        <v>41279</v>
      </c>
      <c r="C53" s="4" t="s">
        <v>34</v>
      </c>
      <c r="D53" s="4" t="s">
        <v>5</v>
      </c>
      <c r="E53" s="5">
        <v>4536</v>
      </c>
      <c r="F53" s="5">
        <v>2358.7199999999998</v>
      </c>
      <c r="H53" s="4" t="b">
        <f t="shared" si="1"/>
        <v>1</v>
      </c>
      <c r="I53" s="4" t="b">
        <f t="shared" si="1"/>
        <v>1</v>
      </c>
      <c r="J53" s="4" t="b">
        <f t="shared" si="1"/>
        <v>1</v>
      </c>
      <c r="K53" s="4" t="b">
        <f t="shared" si="1"/>
        <v>1</v>
      </c>
      <c r="L53" s="4" t="b">
        <f t="shared" si="1"/>
        <v>1</v>
      </c>
      <c r="M53" s="4" t="b">
        <f t="shared" si="1"/>
        <v>1</v>
      </c>
    </row>
  </sheetData>
  <sortState xmlns:xlrd2="http://schemas.microsoft.com/office/spreadsheetml/2017/richdata2" ref="A7:F53">
    <sortCondition ref="F7"/>
  </sortState>
  <conditionalFormatting sqref="A7:F53">
    <cfRule type="expression" dxfId="5" priority="1">
      <formula>$B7=$A$4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00FF"/>
  </sheetPr>
  <dimension ref="A1:F53"/>
  <sheetViews>
    <sheetView zoomScale="175" zoomScaleNormal="175" workbookViewId="0">
      <selection activeCell="A5" sqref="A5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</cols>
  <sheetData>
    <row r="1" spans="1:6" x14ac:dyDescent="0.25">
      <c r="A1" t="s">
        <v>31</v>
      </c>
    </row>
    <row r="3" spans="1:6" x14ac:dyDescent="0.25">
      <c r="A3" s="25" t="s">
        <v>33</v>
      </c>
    </row>
    <row r="4" spans="1:6" x14ac:dyDescent="0.25">
      <c r="A4" s="2">
        <v>659440</v>
      </c>
    </row>
    <row r="6" spans="1:6" x14ac:dyDescent="0.25">
      <c r="A6" s="1" t="s">
        <v>33</v>
      </c>
      <c r="B6" s="1" t="s">
        <v>0</v>
      </c>
      <c r="C6" s="1" t="s">
        <v>1</v>
      </c>
      <c r="D6" s="1" t="s">
        <v>2</v>
      </c>
      <c r="E6" s="1" t="s">
        <v>3</v>
      </c>
      <c r="F6" s="1" t="s">
        <v>4</v>
      </c>
    </row>
    <row r="7" spans="1:6" x14ac:dyDescent="0.25">
      <c r="A7" s="2">
        <v>659447</v>
      </c>
      <c r="B7" s="3">
        <v>41279</v>
      </c>
      <c r="C7" s="4" t="s">
        <v>35</v>
      </c>
      <c r="D7" s="4" t="s">
        <v>14</v>
      </c>
      <c r="E7" s="5">
        <v>48.48</v>
      </c>
      <c r="F7" s="5">
        <v>25.2</v>
      </c>
    </row>
    <row r="8" spans="1:6" x14ac:dyDescent="0.25">
      <c r="A8" s="2">
        <v>659452</v>
      </c>
      <c r="B8" s="3">
        <v>41284</v>
      </c>
      <c r="C8" s="4" t="s">
        <v>35</v>
      </c>
      <c r="D8" s="4" t="s">
        <v>14</v>
      </c>
      <c r="E8" s="5">
        <v>1360</v>
      </c>
      <c r="F8" s="5">
        <v>639.20000000000005</v>
      </c>
    </row>
    <row r="9" spans="1:6" x14ac:dyDescent="0.25">
      <c r="A9" s="2">
        <v>659455</v>
      </c>
      <c r="B9" s="3">
        <v>41285</v>
      </c>
      <c r="C9" s="4" t="s">
        <v>35</v>
      </c>
      <c r="D9" s="4" t="s">
        <v>14</v>
      </c>
      <c r="E9" s="5">
        <v>1632</v>
      </c>
      <c r="F9" s="5">
        <v>767.04</v>
      </c>
    </row>
    <row r="10" spans="1:6" x14ac:dyDescent="0.25">
      <c r="A10" s="2">
        <v>659457</v>
      </c>
      <c r="B10" s="3">
        <v>41286</v>
      </c>
      <c r="C10" s="4" t="s">
        <v>35</v>
      </c>
      <c r="D10" s="4" t="s">
        <v>14</v>
      </c>
      <c r="E10" s="5">
        <v>60.6</v>
      </c>
      <c r="F10" s="5">
        <v>28.5</v>
      </c>
    </row>
    <row r="11" spans="1:6" x14ac:dyDescent="0.25">
      <c r="A11" s="2">
        <v>659443</v>
      </c>
      <c r="B11" s="3">
        <v>41279</v>
      </c>
      <c r="C11" s="4" t="s">
        <v>34</v>
      </c>
      <c r="D11" s="4" t="s">
        <v>10</v>
      </c>
      <c r="E11" s="5">
        <v>503.1</v>
      </c>
      <c r="F11" s="5">
        <v>251.56</v>
      </c>
    </row>
    <row r="12" spans="1:6" x14ac:dyDescent="0.25">
      <c r="A12" s="2">
        <v>659444</v>
      </c>
      <c r="B12" s="3">
        <v>41279</v>
      </c>
      <c r="C12" s="4" t="s">
        <v>34</v>
      </c>
      <c r="D12" s="4" t="s">
        <v>10</v>
      </c>
      <c r="E12" s="5">
        <v>464.96</v>
      </c>
      <c r="F12" s="5">
        <v>237.12</v>
      </c>
    </row>
    <row r="13" spans="1:6" x14ac:dyDescent="0.25">
      <c r="A13" s="2">
        <v>659455</v>
      </c>
      <c r="B13" s="3">
        <v>41285</v>
      </c>
      <c r="C13" s="4" t="s">
        <v>34</v>
      </c>
      <c r="D13" s="4" t="s">
        <v>10</v>
      </c>
      <c r="E13" s="5">
        <v>2631.6</v>
      </c>
      <c r="F13" s="5">
        <v>1421.04</v>
      </c>
    </row>
    <row r="14" spans="1:6" x14ac:dyDescent="0.25">
      <c r="A14" s="2">
        <v>659440</v>
      </c>
      <c r="B14" s="3">
        <v>41276</v>
      </c>
      <c r="C14" s="4" t="s">
        <v>34</v>
      </c>
      <c r="D14" s="4" t="s">
        <v>8</v>
      </c>
      <c r="E14" s="5">
        <v>357.5</v>
      </c>
      <c r="F14" s="5">
        <v>193.06</v>
      </c>
    </row>
    <row r="15" spans="1:6" x14ac:dyDescent="0.25">
      <c r="A15" s="2">
        <v>659441</v>
      </c>
      <c r="B15" s="3">
        <v>41277</v>
      </c>
      <c r="C15" s="4" t="s">
        <v>34</v>
      </c>
      <c r="D15" s="4" t="s">
        <v>8</v>
      </c>
      <c r="E15" s="5">
        <v>1980</v>
      </c>
      <c r="F15" s="5">
        <v>990</v>
      </c>
    </row>
    <row r="16" spans="1:6" x14ac:dyDescent="0.25">
      <c r="A16" s="2">
        <v>659445</v>
      </c>
      <c r="B16" s="3">
        <v>41279</v>
      </c>
      <c r="C16" s="4" t="s">
        <v>34</v>
      </c>
      <c r="D16" s="4" t="s">
        <v>8</v>
      </c>
      <c r="E16" s="5">
        <v>1650</v>
      </c>
      <c r="F16" s="5">
        <v>792</v>
      </c>
    </row>
    <row r="17" spans="1:6" x14ac:dyDescent="0.25">
      <c r="A17" s="2">
        <v>659447</v>
      </c>
      <c r="B17" s="3">
        <v>41279</v>
      </c>
      <c r="C17" s="4" t="s">
        <v>35</v>
      </c>
      <c r="D17" s="4" t="s">
        <v>15</v>
      </c>
      <c r="E17" s="5">
        <v>1664</v>
      </c>
      <c r="F17" s="5">
        <v>881.92</v>
      </c>
    </row>
    <row r="18" spans="1:6" x14ac:dyDescent="0.25">
      <c r="A18" s="2">
        <v>659440</v>
      </c>
      <c r="B18" s="3">
        <v>41276</v>
      </c>
      <c r="C18" s="4" t="s">
        <v>6</v>
      </c>
      <c r="D18" s="4" t="s">
        <v>9</v>
      </c>
      <c r="E18" s="5">
        <v>1957.6</v>
      </c>
      <c r="F18" s="5">
        <v>1037.55</v>
      </c>
    </row>
    <row r="19" spans="1:6" x14ac:dyDescent="0.25">
      <c r="A19" s="2">
        <v>659444</v>
      </c>
      <c r="B19" s="3">
        <v>41279</v>
      </c>
      <c r="C19" s="4" t="s">
        <v>6</v>
      </c>
      <c r="D19" s="4" t="s">
        <v>9</v>
      </c>
      <c r="E19" s="5">
        <v>3938.4</v>
      </c>
      <c r="F19" s="5">
        <v>1890.4</v>
      </c>
    </row>
    <row r="20" spans="1:6" x14ac:dyDescent="0.25">
      <c r="A20" s="2">
        <v>659453</v>
      </c>
      <c r="B20" s="3">
        <v>41284</v>
      </c>
      <c r="C20" s="4" t="s">
        <v>6</v>
      </c>
      <c r="D20" s="4" t="s">
        <v>17</v>
      </c>
      <c r="E20" s="5">
        <v>4309.2</v>
      </c>
      <c r="F20" s="5">
        <v>2326.9499999999998</v>
      </c>
    </row>
    <row r="21" spans="1:6" x14ac:dyDescent="0.25">
      <c r="A21" s="2">
        <v>659458</v>
      </c>
      <c r="B21" s="3">
        <v>41287</v>
      </c>
      <c r="C21" s="4" t="s">
        <v>6</v>
      </c>
      <c r="D21" s="4" t="s">
        <v>17</v>
      </c>
      <c r="E21" s="5">
        <v>1316.7</v>
      </c>
      <c r="F21" s="5">
        <v>618.84</v>
      </c>
    </row>
    <row r="22" spans="1:6" x14ac:dyDescent="0.25">
      <c r="A22" s="2">
        <v>659451</v>
      </c>
      <c r="B22" s="3">
        <v>41283</v>
      </c>
      <c r="C22" s="4" t="s">
        <v>6</v>
      </c>
      <c r="D22" s="4" t="s">
        <v>16</v>
      </c>
      <c r="E22" s="5">
        <v>256.2</v>
      </c>
      <c r="F22" s="5">
        <v>140.9</v>
      </c>
    </row>
    <row r="23" spans="1:6" x14ac:dyDescent="0.25">
      <c r="A23" s="2">
        <v>659455</v>
      </c>
      <c r="B23" s="3">
        <v>41285</v>
      </c>
      <c r="C23" s="4" t="s">
        <v>6</v>
      </c>
      <c r="D23" s="4" t="s">
        <v>16</v>
      </c>
      <c r="E23" s="5">
        <v>39.04</v>
      </c>
      <c r="F23" s="5">
        <v>19.52</v>
      </c>
    </row>
    <row r="24" spans="1:6" x14ac:dyDescent="0.25">
      <c r="A24" s="2">
        <v>659456</v>
      </c>
      <c r="B24" s="3">
        <v>41286</v>
      </c>
      <c r="C24" s="4" t="s">
        <v>6</v>
      </c>
      <c r="D24" s="4" t="s">
        <v>16</v>
      </c>
      <c r="E24" s="5">
        <v>51.24</v>
      </c>
      <c r="F24" s="5">
        <v>27.16</v>
      </c>
    </row>
    <row r="25" spans="1:6" x14ac:dyDescent="0.25">
      <c r="A25" s="2">
        <v>659457</v>
      </c>
      <c r="B25" s="3">
        <v>41286</v>
      </c>
      <c r="C25" s="4" t="s">
        <v>6</v>
      </c>
      <c r="D25" s="4" t="s">
        <v>16</v>
      </c>
      <c r="E25" s="5">
        <v>40.26</v>
      </c>
      <c r="F25" s="5">
        <v>21.33</v>
      </c>
    </row>
    <row r="26" spans="1:6" x14ac:dyDescent="0.25">
      <c r="A26" s="2">
        <v>659458</v>
      </c>
      <c r="B26" s="3">
        <v>41287</v>
      </c>
      <c r="C26" s="4" t="s">
        <v>6</v>
      </c>
      <c r="D26" s="4" t="s">
        <v>16</v>
      </c>
      <c r="E26" s="5">
        <v>207.36</v>
      </c>
      <c r="F26" s="5">
        <v>107.82</v>
      </c>
    </row>
    <row r="27" spans="1:6" x14ac:dyDescent="0.25">
      <c r="A27" s="2">
        <v>659459</v>
      </c>
      <c r="B27" s="3">
        <v>41288</v>
      </c>
      <c r="C27" s="4" t="s">
        <v>6</v>
      </c>
      <c r="D27" s="4" t="s">
        <v>16</v>
      </c>
      <c r="E27" s="5">
        <v>183</v>
      </c>
      <c r="F27" s="5">
        <v>95.2</v>
      </c>
    </row>
    <row r="28" spans="1:6" x14ac:dyDescent="0.25">
      <c r="A28" s="2">
        <v>659446</v>
      </c>
      <c r="B28" s="3">
        <v>41279</v>
      </c>
      <c r="C28" s="4" t="s">
        <v>35</v>
      </c>
      <c r="D28" s="4" t="s">
        <v>12</v>
      </c>
      <c r="E28" s="5">
        <v>1008.72</v>
      </c>
      <c r="F28" s="5">
        <v>504.36</v>
      </c>
    </row>
    <row r="29" spans="1:6" x14ac:dyDescent="0.25">
      <c r="A29" s="2">
        <v>659454</v>
      </c>
      <c r="B29" s="3">
        <v>41285</v>
      </c>
      <c r="C29" s="4" t="s">
        <v>35</v>
      </c>
      <c r="D29" s="4" t="s">
        <v>12</v>
      </c>
      <c r="E29" s="5">
        <v>1672</v>
      </c>
      <c r="F29" s="5">
        <v>819.28</v>
      </c>
    </row>
    <row r="30" spans="1:6" x14ac:dyDescent="0.25">
      <c r="A30" s="2">
        <v>659456</v>
      </c>
      <c r="B30" s="3">
        <v>41286</v>
      </c>
      <c r="C30" s="4" t="s">
        <v>35</v>
      </c>
      <c r="D30" s="4" t="s">
        <v>12</v>
      </c>
      <c r="E30" s="5">
        <v>495</v>
      </c>
      <c r="F30" s="5">
        <v>237.6</v>
      </c>
    </row>
    <row r="31" spans="1:6" x14ac:dyDescent="0.25">
      <c r="A31" s="2">
        <v>659439</v>
      </c>
      <c r="B31" s="3">
        <v>41275</v>
      </c>
      <c r="C31" s="4" t="s">
        <v>34</v>
      </c>
      <c r="D31" s="4" t="s">
        <v>5</v>
      </c>
      <c r="E31" s="5">
        <v>1232.44</v>
      </c>
      <c r="F31" s="5">
        <v>591.58000000000004</v>
      </c>
    </row>
    <row r="32" spans="1:6" x14ac:dyDescent="0.25">
      <c r="A32" s="2">
        <v>659441</v>
      </c>
      <c r="B32" s="3">
        <v>41277</v>
      </c>
      <c r="C32" s="4" t="s">
        <v>34</v>
      </c>
      <c r="D32" s="4" t="s">
        <v>5</v>
      </c>
      <c r="E32" s="5">
        <v>561.67999999999995</v>
      </c>
      <c r="F32" s="5">
        <v>303.31</v>
      </c>
    </row>
    <row r="33" spans="1:6" x14ac:dyDescent="0.25">
      <c r="A33" s="2">
        <v>659442</v>
      </c>
      <c r="B33" s="3">
        <v>41278</v>
      </c>
      <c r="C33" s="4" t="s">
        <v>34</v>
      </c>
      <c r="D33" s="4" t="s">
        <v>5</v>
      </c>
      <c r="E33" s="5">
        <v>2772</v>
      </c>
      <c r="F33" s="5">
        <v>1469.16</v>
      </c>
    </row>
    <row r="34" spans="1:6" x14ac:dyDescent="0.25">
      <c r="A34" s="2">
        <v>659443</v>
      </c>
      <c r="B34" s="3">
        <v>41279</v>
      </c>
      <c r="C34" s="4" t="s">
        <v>34</v>
      </c>
      <c r="D34" s="4" t="s">
        <v>5</v>
      </c>
      <c r="E34" s="5">
        <v>4536</v>
      </c>
      <c r="F34" s="5">
        <v>2358.7199999999998</v>
      </c>
    </row>
    <row r="35" spans="1:6" x14ac:dyDescent="0.25">
      <c r="A35" s="2">
        <v>659446</v>
      </c>
      <c r="B35" s="3">
        <v>41279</v>
      </c>
      <c r="C35" s="4" t="s">
        <v>34</v>
      </c>
      <c r="D35" s="4" t="s">
        <v>5</v>
      </c>
      <c r="E35" s="5">
        <v>2304</v>
      </c>
      <c r="F35" s="5">
        <v>1082.8800000000001</v>
      </c>
    </row>
    <row r="36" spans="1:6" x14ac:dyDescent="0.25">
      <c r="A36" s="2">
        <v>659446</v>
      </c>
      <c r="B36" s="3">
        <v>41279</v>
      </c>
      <c r="C36" s="4" t="s">
        <v>34</v>
      </c>
      <c r="D36" s="4" t="s">
        <v>5</v>
      </c>
      <c r="E36" s="5">
        <v>2744.98</v>
      </c>
      <c r="F36" s="5">
        <v>1317.61</v>
      </c>
    </row>
    <row r="37" spans="1:6" x14ac:dyDescent="0.25">
      <c r="A37" s="2">
        <v>659446</v>
      </c>
      <c r="B37" s="3">
        <v>41279</v>
      </c>
      <c r="C37" s="4" t="s">
        <v>34</v>
      </c>
      <c r="D37" s="4" t="s">
        <v>5</v>
      </c>
      <c r="E37" s="5">
        <v>3361.2</v>
      </c>
      <c r="F37" s="5">
        <v>1579.75</v>
      </c>
    </row>
    <row r="38" spans="1:6" x14ac:dyDescent="0.25">
      <c r="A38" s="2">
        <v>659450</v>
      </c>
      <c r="B38" s="3">
        <v>41282</v>
      </c>
      <c r="C38" s="4" t="s">
        <v>34</v>
      </c>
      <c r="D38" s="4" t="s">
        <v>5</v>
      </c>
      <c r="E38" s="5">
        <v>962.88</v>
      </c>
      <c r="F38" s="5">
        <v>510.32</v>
      </c>
    </row>
    <row r="39" spans="1:6" x14ac:dyDescent="0.25">
      <c r="A39" s="2">
        <v>659455</v>
      </c>
      <c r="B39" s="3">
        <v>41285</v>
      </c>
      <c r="C39" s="4" t="s">
        <v>34</v>
      </c>
      <c r="D39" s="4" t="s">
        <v>5</v>
      </c>
      <c r="E39" s="5">
        <v>200.6</v>
      </c>
      <c r="F39" s="5">
        <v>106.32</v>
      </c>
    </row>
    <row r="40" spans="1:6" x14ac:dyDescent="0.25">
      <c r="A40" s="2">
        <v>659446</v>
      </c>
      <c r="B40" s="3">
        <v>41279</v>
      </c>
      <c r="C40" s="4" t="s">
        <v>34</v>
      </c>
      <c r="D40" s="4" t="s">
        <v>13</v>
      </c>
      <c r="E40" s="5">
        <v>3174</v>
      </c>
      <c r="F40" s="5">
        <v>1713.96</v>
      </c>
    </row>
    <row r="41" spans="1:6" x14ac:dyDescent="0.25">
      <c r="A41" s="2">
        <v>659449</v>
      </c>
      <c r="B41" s="3">
        <v>41281</v>
      </c>
      <c r="C41" s="4" t="s">
        <v>34</v>
      </c>
      <c r="D41" s="4" t="s">
        <v>13</v>
      </c>
      <c r="E41" s="5">
        <v>611.41999999999996</v>
      </c>
      <c r="F41" s="5">
        <v>324.06</v>
      </c>
    </row>
    <row r="42" spans="1:6" x14ac:dyDescent="0.25">
      <c r="A42" s="2">
        <v>659456</v>
      </c>
      <c r="B42" s="3">
        <v>41286</v>
      </c>
      <c r="C42" s="4" t="s">
        <v>34</v>
      </c>
      <c r="D42" s="4" t="s">
        <v>13</v>
      </c>
      <c r="E42" s="5">
        <v>1150</v>
      </c>
      <c r="F42" s="5">
        <v>552</v>
      </c>
    </row>
    <row r="43" spans="1:6" x14ac:dyDescent="0.25">
      <c r="A43" s="2">
        <v>659440</v>
      </c>
      <c r="B43" s="3">
        <v>41276</v>
      </c>
      <c r="C43" s="4" t="s">
        <v>6</v>
      </c>
      <c r="D43" s="4" t="s">
        <v>7</v>
      </c>
      <c r="E43" s="5">
        <v>451.2</v>
      </c>
      <c r="F43" s="5">
        <v>212.08</v>
      </c>
    </row>
    <row r="44" spans="1:6" x14ac:dyDescent="0.25">
      <c r="A44" s="2">
        <v>659451</v>
      </c>
      <c r="B44" s="3">
        <v>41283</v>
      </c>
      <c r="C44" s="4" t="s">
        <v>6</v>
      </c>
      <c r="D44" s="4" t="s">
        <v>7</v>
      </c>
      <c r="E44" s="5">
        <v>203.04</v>
      </c>
      <c r="F44" s="5">
        <v>95.4</v>
      </c>
    </row>
    <row r="45" spans="1:6" x14ac:dyDescent="0.25">
      <c r="A45" s="2">
        <v>659453</v>
      </c>
      <c r="B45" s="3">
        <v>41284</v>
      </c>
      <c r="C45" s="4" t="s">
        <v>6</v>
      </c>
      <c r="D45" s="4" t="s">
        <v>7</v>
      </c>
      <c r="E45" s="5">
        <v>241.28</v>
      </c>
      <c r="F45" s="5">
        <v>132.72</v>
      </c>
    </row>
    <row r="46" spans="1:6" x14ac:dyDescent="0.25">
      <c r="A46" s="2">
        <v>659455</v>
      </c>
      <c r="B46" s="3">
        <v>41285</v>
      </c>
      <c r="C46" s="4" t="s">
        <v>6</v>
      </c>
      <c r="D46" s="4" t="s">
        <v>7</v>
      </c>
      <c r="E46" s="5">
        <v>394.8</v>
      </c>
      <c r="F46" s="5">
        <v>197.4</v>
      </c>
    </row>
    <row r="47" spans="1:6" x14ac:dyDescent="0.25">
      <c r="A47" s="2">
        <v>659445</v>
      </c>
      <c r="B47" s="3">
        <v>41279</v>
      </c>
      <c r="C47" s="4" t="s">
        <v>35</v>
      </c>
      <c r="D47" s="4" t="s">
        <v>11</v>
      </c>
      <c r="E47" s="5">
        <v>114</v>
      </c>
      <c r="F47" s="5">
        <v>55.86</v>
      </c>
    </row>
    <row r="48" spans="1:6" x14ac:dyDescent="0.25">
      <c r="A48" s="2">
        <v>659446</v>
      </c>
      <c r="B48" s="3">
        <v>41279</v>
      </c>
      <c r="C48" s="4" t="s">
        <v>35</v>
      </c>
      <c r="D48" s="4" t="s">
        <v>11</v>
      </c>
      <c r="E48" s="5">
        <v>730.2</v>
      </c>
      <c r="F48" s="5">
        <v>365.1</v>
      </c>
    </row>
    <row r="49" spans="1:6" x14ac:dyDescent="0.25">
      <c r="A49" s="2">
        <v>659448</v>
      </c>
      <c r="B49" s="3">
        <v>41280</v>
      </c>
      <c r="C49" s="4" t="s">
        <v>35</v>
      </c>
      <c r="D49" s="4" t="s">
        <v>11</v>
      </c>
      <c r="E49" s="5">
        <v>670.4</v>
      </c>
      <c r="F49" s="5">
        <v>355.28</v>
      </c>
    </row>
    <row r="50" spans="1:6" x14ac:dyDescent="0.25">
      <c r="A50" s="2">
        <v>659455</v>
      </c>
      <c r="B50" s="3">
        <v>41285</v>
      </c>
      <c r="C50" s="4" t="s">
        <v>35</v>
      </c>
      <c r="D50" s="4" t="s">
        <v>11</v>
      </c>
      <c r="E50" s="5">
        <v>368.72</v>
      </c>
      <c r="F50" s="5">
        <v>188.04</v>
      </c>
    </row>
    <row r="51" spans="1:6" x14ac:dyDescent="0.25">
      <c r="A51" s="2">
        <v>659455</v>
      </c>
      <c r="B51" s="3">
        <v>41285</v>
      </c>
      <c r="C51" s="4" t="s">
        <v>35</v>
      </c>
      <c r="D51" s="4" t="s">
        <v>11</v>
      </c>
      <c r="E51" s="5">
        <v>670.4</v>
      </c>
      <c r="F51" s="5">
        <v>341.92</v>
      </c>
    </row>
    <row r="52" spans="1:6" x14ac:dyDescent="0.25">
      <c r="A52" s="2">
        <v>659455</v>
      </c>
      <c r="B52" s="3">
        <v>41285</v>
      </c>
      <c r="C52" s="4" t="s">
        <v>35</v>
      </c>
      <c r="D52" s="4" t="s">
        <v>11</v>
      </c>
      <c r="E52" s="5">
        <v>219.06</v>
      </c>
      <c r="F52" s="5">
        <v>118.3</v>
      </c>
    </row>
    <row r="53" spans="1:6" x14ac:dyDescent="0.25">
      <c r="A53" s="2">
        <v>659457</v>
      </c>
      <c r="B53" s="3">
        <v>41286</v>
      </c>
      <c r="C53" s="4" t="s">
        <v>35</v>
      </c>
      <c r="D53" s="4" t="s">
        <v>11</v>
      </c>
      <c r="E53" s="5">
        <v>2394</v>
      </c>
      <c r="F53" s="5">
        <v>1292.76</v>
      </c>
    </row>
  </sheetData>
  <sortState xmlns:xlrd2="http://schemas.microsoft.com/office/spreadsheetml/2017/richdata2" ref="A7:F53">
    <sortCondition ref="D7"/>
  </sortState>
  <conditionalFormatting sqref="A7:F53">
    <cfRule type="expression" dxfId="4" priority="1">
      <formula>$A7=$A$4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G10"/>
  <sheetViews>
    <sheetView zoomScale="130" zoomScaleNormal="130" workbookViewId="0">
      <selection activeCell="C7" sqref="C7"/>
    </sheetView>
  </sheetViews>
  <sheetFormatPr defaultRowHeight="15" x14ac:dyDescent="0.25"/>
  <cols>
    <col min="1" max="1" width="16.7109375" customWidth="1"/>
    <col min="2" max="2" width="22.7109375" customWidth="1"/>
    <col min="3" max="3" width="15.5703125" customWidth="1"/>
  </cols>
  <sheetData>
    <row r="1" spans="1:7" x14ac:dyDescent="0.25">
      <c r="A1" t="s">
        <v>93</v>
      </c>
    </row>
    <row r="3" spans="1:7" x14ac:dyDescent="0.25">
      <c r="A3" s="18" t="s">
        <v>77</v>
      </c>
      <c r="B3" s="18" t="s">
        <v>79</v>
      </c>
      <c r="C3" s="18" t="s">
        <v>76</v>
      </c>
    </row>
    <row r="4" spans="1:7" x14ac:dyDescent="0.25">
      <c r="A4" s="15" t="s">
        <v>78</v>
      </c>
      <c r="B4" s="19">
        <v>15000</v>
      </c>
      <c r="C4" s="19">
        <v>15000</v>
      </c>
      <c r="E4" s="15" t="b">
        <f t="shared" ref="E4:G10" si="0">$C4&gt;$B4</f>
        <v>0</v>
      </c>
      <c r="F4" s="15" t="b">
        <f t="shared" si="0"/>
        <v>0</v>
      </c>
      <c r="G4" s="15" t="b">
        <f t="shared" si="0"/>
        <v>0</v>
      </c>
    </row>
    <row r="5" spans="1:7" x14ac:dyDescent="0.25">
      <c r="A5" s="15" t="s">
        <v>80</v>
      </c>
      <c r="B5" s="19">
        <v>195500</v>
      </c>
      <c r="C5" s="19">
        <v>215809.25</v>
      </c>
      <c r="E5" s="15" t="b">
        <f t="shared" si="0"/>
        <v>1</v>
      </c>
      <c r="F5" s="15" t="b">
        <f t="shared" si="0"/>
        <v>1</v>
      </c>
      <c r="G5" s="15" t="b">
        <f t="shared" si="0"/>
        <v>1</v>
      </c>
    </row>
    <row r="6" spans="1:7" x14ac:dyDescent="0.25">
      <c r="A6" s="15" t="s">
        <v>81</v>
      </c>
      <c r="B6" s="19">
        <v>59800</v>
      </c>
      <c r="C6" s="19">
        <v>59852.11</v>
      </c>
      <c r="E6" s="15" t="b">
        <f t="shared" si="0"/>
        <v>1</v>
      </c>
      <c r="F6" s="15" t="b">
        <f t="shared" si="0"/>
        <v>1</v>
      </c>
      <c r="G6" s="15" t="b">
        <f t="shared" si="0"/>
        <v>1</v>
      </c>
    </row>
    <row r="7" spans="1:7" x14ac:dyDescent="0.25">
      <c r="A7" s="15" t="s">
        <v>82</v>
      </c>
      <c r="B7" s="19">
        <v>356500</v>
      </c>
      <c r="C7" s="19">
        <v>345089.25</v>
      </c>
      <c r="E7" s="15" t="b">
        <f t="shared" si="0"/>
        <v>0</v>
      </c>
      <c r="F7" s="15" t="b">
        <f t="shared" si="0"/>
        <v>0</v>
      </c>
      <c r="G7" s="15" t="b">
        <f t="shared" si="0"/>
        <v>0</v>
      </c>
    </row>
    <row r="8" spans="1:7" x14ac:dyDescent="0.25">
      <c r="A8" s="15" t="s">
        <v>83</v>
      </c>
      <c r="B8" s="19">
        <v>159000</v>
      </c>
      <c r="C8" s="19">
        <v>149087.25</v>
      </c>
      <c r="E8" s="15" t="b">
        <f t="shared" si="0"/>
        <v>0</v>
      </c>
      <c r="F8" s="15" t="b">
        <f t="shared" si="0"/>
        <v>0</v>
      </c>
      <c r="G8" s="15" t="b">
        <f t="shared" si="0"/>
        <v>0</v>
      </c>
    </row>
    <row r="9" spans="1:7" x14ac:dyDescent="0.25">
      <c r="A9" s="15" t="s">
        <v>84</v>
      </c>
      <c r="B9" s="19">
        <v>105000</v>
      </c>
      <c r="C9" s="19">
        <v>105000</v>
      </c>
      <c r="E9" s="15" t="b">
        <f t="shared" si="0"/>
        <v>0</v>
      </c>
      <c r="F9" s="15" t="b">
        <f t="shared" si="0"/>
        <v>0</v>
      </c>
      <c r="G9" s="15" t="b">
        <f t="shared" si="0"/>
        <v>0</v>
      </c>
    </row>
    <row r="10" spans="1:7" x14ac:dyDescent="0.25">
      <c r="A10" s="15" t="s">
        <v>85</v>
      </c>
      <c r="B10" s="19">
        <v>7500</v>
      </c>
      <c r="C10" s="19">
        <v>65809.25</v>
      </c>
      <c r="E10" s="15" t="b">
        <f t="shared" si="0"/>
        <v>1</v>
      </c>
      <c r="F10" s="15" t="b">
        <f t="shared" si="0"/>
        <v>1</v>
      </c>
      <c r="G10" s="15" t="b">
        <f t="shared" si="0"/>
        <v>1</v>
      </c>
    </row>
  </sheetData>
  <conditionalFormatting sqref="A4:C10">
    <cfRule type="expression" dxfId="3" priority="1">
      <formula>$C4&gt;$B4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F16"/>
  <sheetViews>
    <sheetView zoomScaleNormal="100" workbookViewId="0">
      <selection activeCell="B3" sqref="B3"/>
    </sheetView>
  </sheetViews>
  <sheetFormatPr defaultRowHeight="15" x14ac:dyDescent="0.25"/>
  <cols>
    <col min="1" max="1" width="16.7109375" customWidth="1"/>
    <col min="2" max="2" width="22.7109375" customWidth="1"/>
    <col min="3" max="3" width="15.5703125" customWidth="1"/>
  </cols>
  <sheetData>
    <row r="1" spans="1:6" x14ac:dyDescent="0.25">
      <c r="A1" t="s">
        <v>27</v>
      </c>
    </row>
    <row r="3" spans="1:6" x14ac:dyDescent="0.25">
      <c r="A3" s="24" t="s">
        <v>100</v>
      </c>
      <c r="B3" s="15" t="s">
        <v>98</v>
      </c>
    </row>
    <row r="5" spans="1:6" x14ac:dyDescent="0.25">
      <c r="A5" s="17" t="s">
        <v>94</v>
      </c>
      <c r="B5" s="17" t="s">
        <v>95</v>
      </c>
      <c r="C5" s="17" t="s">
        <v>96</v>
      </c>
      <c r="D5" s="17" t="s">
        <v>97</v>
      </c>
      <c r="E5" s="17" t="s">
        <v>98</v>
      </c>
      <c r="F5" s="17" t="s">
        <v>99</v>
      </c>
    </row>
    <row r="6" spans="1:6" x14ac:dyDescent="0.25">
      <c r="A6" s="15">
        <v>244</v>
      </c>
      <c r="B6" s="15">
        <v>605</v>
      </c>
      <c r="C6" s="15">
        <v>596</v>
      </c>
      <c r="D6" s="15">
        <v>116</v>
      </c>
      <c r="E6" s="15">
        <v>970</v>
      </c>
      <c r="F6" s="15">
        <v>170</v>
      </c>
    </row>
    <row r="7" spans="1:6" x14ac:dyDescent="0.25">
      <c r="A7" s="15">
        <v>589</v>
      </c>
      <c r="B7" s="15">
        <v>385</v>
      </c>
      <c r="C7" s="15">
        <v>959</v>
      </c>
      <c r="D7" s="15">
        <v>778</v>
      </c>
      <c r="E7" s="15">
        <v>1067</v>
      </c>
      <c r="F7" s="15">
        <v>419</v>
      </c>
    </row>
    <row r="8" spans="1:6" x14ac:dyDescent="0.25">
      <c r="A8" s="15">
        <v>565</v>
      </c>
      <c r="B8" s="15">
        <v>929</v>
      </c>
      <c r="C8" s="15">
        <v>685</v>
      </c>
      <c r="D8" s="15">
        <v>606</v>
      </c>
      <c r="E8" s="15">
        <v>497</v>
      </c>
      <c r="F8" s="15">
        <v>591</v>
      </c>
    </row>
    <row r="9" spans="1:6" x14ac:dyDescent="0.25">
      <c r="A9" s="15">
        <v>704</v>
      </c>
      <c r="B9" s="15">
        <v>355</v>
      </c>
      <c r="C9" s="15">
        <v>1114</v>
      </c>
      <c r="D9" s="15">
        <v>686</v>
      </c>
      <c r="E9" s="15">
        <v>678</v>
      </c>
      <c r="F9" s="15">
        <v>1121</v>
      </c>
    </row>
    <row r="10" spans="1:6" x14ac:dyDescent="0.25">
      <c r="A10" s="15">
        <v>1118</v>
      </c>
      <c r="B10" s="15">
        <v>1023</v>
      </c>
      <c r="C10" s="15">
        <v>733</v>
      </c>
      <c r="D10" s="15">
        <v>998</v>
      </c>
      <c r="E10" s="15">
        <v>174</v>
      </c>
      <c r="F10" s="15">
        <v>123</v>
      </c>
    </row>
    <row r="11" spans="1:6" x14ac:dyDescent="0.25">
      <c r="A11" s="15">
        <v>1045</v>
      </c>
      <c r="B11" s="15">
        <v>1162</v>
      </c>
      <c r="C11" s="15">
        <v>819</v>
      </c>
      <c r="D11" s="15">
        <v>877</v>
      </c>
      <c r="E11" s="15">
        <v>945</v>
      </c>
      <c r="F11" s="15">
        <v>1106</v>
      </c>
    </row>
    <row r="12" spans="1:6" x14ac:dyDescent="0.25">
      <c r="A12" s="15">
        <v>681</v>
      </c>
      <c r="B12" s="15">
        <v>121</v>
      </c>
      <c r="C12" s="15">
        <v>652</v>
      </c>
      <c r="D12" s="15">
        <v>993</v>
      </c>
      <c r="E12" s="15">
        <v>214</v>
      </c>
      <c r="F12" s="15">
        <v>448</v>
      </c>
    </row>
    <row r="13" spans="1:6" x14ac:dyDescent="0.25">
      <c r="A13" s="15">
        <v>666</v>
      </c>
      <c r="B13" s="15">
        <v>627</v>
      </c>
      <c r="C13" s="15">
        <v>1188</v>
      </c>
      <c r="D13" s="15">
        <v>817</v>
      </c>
      <c r="E13" s="15">
        <v>530</v>
      </c>
      <c r="F13" s="15">
        <v>344</v>
      </c>
    </row>
    <row r="14" spans="1:6" x14ac:dyDescent="0.25">
      <c r="A14" s="15">
        <v>1030</v>
      </c>
      <c r="B14" s="15">
        <v>121</v>
      </c>
      <c r="C14" s="15">
        <v>384</v>
      </c>
      <c r="D14" s="15">
        <v>965</v>
      </c>
      <c r="E14" s="15">
        <v>734</v>
      </c>
      <c r="F14" s="15">
        <v>1188</v>
      </c>
    </row>
    <row r="15" spans="1:6" x14ac:dyDescent="0.25">
      <c r="A15" s="15">
        <v>645</v>
      </c>
      <c r="B15" s="15">
        <v>773</v>
      </c>
      <c r="C15" s="15">
        <v>115</v>
      </c>
      <c r="D15" s="15">
        <v>362</v>
      </c>
      <c r="E15" s="15">
        <v>804</v>
      </c>
      <c r="F15" s="15">
        <v>730</v>
      </c>
    </row>
    <row r="16" spans="1:6" x14ac:dyDescent="0.25">
      <c r="A16" s="15">
        <v>697</v>
      </c>
      <c r="B16" s="15">
        <v>300</v>
      </c>
      <c r="C16" s="15">
        <v>866</v>
      </c>
      <c r="D16" s="15">
        <v>377</v>
      </c>
      <c r="E16" s="15">
        <v>1184</v>
      </c>
      <c r="F16" s="15">
        <v>789</v>
      </c>
    </row>
  </sheetData>
  <conditionalFormatting sqref="A6:F16">
    <cfRule type="expression" dxfId="2" priority="1">
      <formula>A$5=$B$3</formula>
    </cfRule>
  </conditionalFormatting>
  <dataValidations count="1">
    <dataValidation type="list" allowBlank="1" showInputMessage="1" showErrorMessage="1" sqref="B3" xr:uid="{00000000-0002-0000-0E00-000000000000}">
      <formula1>$A$5:$F$5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H55"/>
  <sheetViews>
    <sheetView workbookViewId="0">
      <selection activeCell="H9" sqref="H9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  <col min="10" max="10" width="15.28515625" bestFit="1" customWidth="1"/>
    <col min="11" max="11" width="10.7109375" bestFit="1" customWidth="1"/>
    <col min="12" max="12" width="14.140625" customWidth="1"/>
    <col min="13" max="13" width="11.7109375" customWidth="1"/>
    <col min="14" max="14" width="10.7109375" customWidth="1"/>
    <col min="15" max="15" width="11.140625" customWidth="1"/>
  </cols>
  <sheetData>
    <row r="1" spans="1:8" x14ac:dyDescent="0.25">
      <c r="A1" t="s">
        <v>102</v>
      </c>
    </row>
    <row r="3" spans="1:8" x14ac:dyDescent="0.25">
      <c r="A3" s="25" t="s">
        <v>33</v>
      </c>
    </row>
    <row r="4" spans="1:8" x14ac:dyDescent="0.25">
      <c r="A4" s="2">
        <v>659440</v>
      </c>
    </row>
    <row r="5" spans="1:8" x14ac:dyDescent="0.25">
      <c r="A5" s="2">
        <v>659442</v>
      </c>
    </row>
    <row r="8" spans="1:8" x14ac:dyDescent="0.25">
      <c r="A8" s="1" t="s">
        <v>33</v>
      </c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</row>
    <row r="9" spans="1:8" x14ac:dyDescent="0.25">
      <c r="A9" s="2">
        <v>659439</v>
      </c>
      <c r="B9" s="3">
        <v>41275</v>
      </c>
      <c r="C9" s="4" t="s">
        <v>34</v>
      </c>
      <c r="D9" s="4" t="s">
        <v>5</v>
      </c>
      <c r="E9" s="5">
        <v>1232.44</v>
      </c>
      <c r="F9" s="5">
        <v>591.58000000000004</v>
      </c>
      <c r="H9" s="15" t="b">
        <f>OR(A9=$A$4,A9=$A$5)</f>
        <v>0</v>
      </c>
    </row>
    <row r="10" spans="1:8" x14ac:dyDescent="0.25">
      <c r="A10" s="2">
        <v>659440</v>
      </c>
      <c r="B10" s="3">
        <v>41276</v>
      </c>
      <c r="C10" s="4" t="s">
        <v>6</v>
      </c>
      <c r="D10" s="4" t="s">
        <v>7</v>
      </c>
      <c r="E10" s="5">
        <v>451.2</v>
      </c>
      <c r="F10" s="5">
        <v>212.08</v>
      </c>
      <c r="H10" s="15" t="b">
        <f t="shared" ref="H10:H55" si="0">OR(A10=$A$4,A10=$A$5)</f>
        <v>1</v>
      </c>
    </row>
    <row r="11" spans="1:8" x14ac:dyDescent="0.25">
      <c r="A11" s="2">
        <v>659440</v>
      </c>
      <c r="B11" s="3">
        <v>41276</v>
      </c>
      <c r="C11" s="4" t="s">
        <v>34</v>
      </c>
      <c r="D11" s="4" t="s">
        <v>8</v>
      </c>
      <c r="E11" s="5">
        <v>357.5</v>
      </c>
      <c r="F11" s="5">
        <v>193.06</v>
      </c>
      <c r="H11" s="15" t="b">
        <f t="shared" si="0"/>
        <v>1</v>
      </c>
    </row>
    <row r="12" spans="1:8" x14ac:dyDescent="0.25">
      <c r="A12" s="2">
        <v>659440</v>
      </c>
      <c r="B12" s="3">
        <v>41276</v>
      </c>
      <c r="C12" s="4" t="s">
        <v>6</v>
      </c>
      <c r="D12" s="4" t="s">
        <v>9</v>
      </c>
      <c r="E12" s="5">
        <v>1957.6</v>
      </c>
      <c r="F12" s="5">
        <v>1037.55</v>
      </c>
      <c r="H12" s="15" t="b">
        <f t="shared" si="0"/>
        <v>1</v>
      </c>
    </row>
    <row r="13" spans="1:8" x14ac:dyDescent="0.25">
      <c r="A13" s="2">
        <v>659441</v>
      </c>
      <c r="B13" s="3">
        <v>41277</v>
      </c>
      <c r="C13" s="4" t="s">
        <v>34</v>
      </c>
      <c r="D13" s="4" t="s">
        <v>5</v>
      </c>
      <c r="E13" s="5">
        <v>561.67999999999995</v>
      </c>
      <c r="F13" s="5">
        <v>303.31</v>
      </c>
      <c r="H13" s="15" t="b">
        <f t="shared" si="0"/>
        <v>0</v>
      </c>
    </row>
    <row r="14" spans="1:8" x14ac:dyDescent="0.25">
      <c r="A14" s="2">
        <v>659441</v>
      </c>
      <c r="B14" s="3">
        <v>41277</v>
      </c>
      <c r="C14" s="4" t="s">
        <v>34</v>
      </c>
      <c r="D14" s="4" t="s">
        <v>8</v>
      </c>
      <c r="E14" s="5">
        <v>1980</v>
      </c>
      <c r="F14" s="5">
        <v>990</v>
      </c>
      <c r="H14" s="15" t="b">
        <f t="shared" si="0"/>
        <v>0</v>
      </c>
    </row>
    <row r="15" spans="1:8" x14ac:dyDescent="0.25">
      <c r="A15" s="2">
        <v>659442</v>
      </c>
      <c r="B15" s="3">
        <v>41278</v>
      </c>
      <c r="C15" s="4" t="s">
        <v>34</v>
      </c>
      <c r="D15" s="4" t="s">
        <v>5</v>
      </c>
      <c r="E15" s="5">
        <v>2772</v>
      </c>
      <c r="F15" s="5">
        <v>1469.16</v>
      </c>
      <c r="H15" s="15" t="b">
        <f t="shared" si="0"/>
        <v>1</v>
      </c>
    </row>
    <row r="16" spans="1:8" x14ac:dyDescent="0.25">
      <c r="A16" s="2">
        <v>659443</v>
      </c>
      <c r="B16" s="3">
        <v>41279</v>
      </c>
      <c r="C16" s="4" t="s">
        <v>34</v>
      </c>
      <c r="D16" s="4" t="s">
        <v>5</v>
      </c>
      <c r="E16" s="5">
        <v>4536</v>
      </c>
      <c r="F16" s="5">
        <v>2358.7199999999998</v>
      </c>
      <c r="H16" s="15" t="b">
        <f t="shared" si="0"/>
        <v>0</v>
      </c>
    </row>
    <row r="17" spans="1:8" x14ac:dyDescent="0.25">
      <c r="A17" s="2">
        <v>659443</v>
      </c>
      <c r="B17" s="3">
        <v>41279</v>
      </c>
      <c r="C17" s="4" t="s">
        <v>34</v>
      </c>
      <c r="D17" s="4" t="s">
        <v>10</v>
      </c>
      <c r="E17" s="5">
        <v>503.1</v>
      </c>
      <c r="F17" s="5">
        <v>251.56</v>
      </c>
      <c r="H17" s="15" t="b">
        <f t="shared" si="0"/>
        <v>0</v>
      </c>
    </row>
    <row r="18" spans="1:8" x14ac:dyDescent="0.25">
      <c r="A18" s="2">
        <v>659444</v>
      </c>
      <c r="B18" s="3">
        <v>41279</v>
      </c>
      <c r="C18" s="4" t="s">
        <v>6</v>
      </c>
      <c r="D18" s="4" t="s">
        <v>9</v>
      </c>
      <c r="E18" s="5">
        <v>3938.4</v>
      </c>
      <c r="F18" s="5">
        <v>1890.4</v>
      </c>
      <c r="H18" s="15" t="b">
        <f t="shared" si="0"/>
        <v>0</v>
      </c>
    </row>
    <row r="19" spans="1:8" x14ac:dyDescent="0.25">
      <c r="A19" s="2">
        <v>659444</v>
      </c>
      <c r="B19" s="3">
        <v>41279</v>
      </c>
      <c r="C19" s="4" t="s">
        <v>34</v>
      </c>
      <c r="D19" s="4" t="s">
        <v>10</v>
      </c>
      <c r="E19" s="5">
        <v>464.96</v>
      </c>
      <c r="F19" s="5">
        <v>237.12</v>
      </c>
      <c r="H19" s="15" t="b">
        <f t="shared" si="0"/>
        <v>0</v>
      </c>
    </row>
    <row r="20" spans="1:8" x14ac:dyDescent="0.25">
      <c r="A20" s="2">
        <v>659445</v>
      </c>
      <c r="B20" s="3">
        <v>41279</v>
      </c>
      <c r="C20" s="4" t="s">
        <v>34</v>
      </c>
      <c r="D20" s="4" t="s">
        <v>8</v>
      </c>
      <c r="E20" s="5">
        <v>1650</v>
      </c>
      <c r="F20" s="5">
        <v>792</v>
      </c>
      <c r="H20" s="15" t="b">
        <f t="shared" si="0"/>
        <v>0</v>
      </c>
    </row>
    <row r="21" spans="1:8" x14ac:dyDescent="0.25">
      <c r="A21" s="2">
        <v>659445</v>
      </c>
      <c r="B21" s="3">
        <v>41279</v>
      </c>
      <c r="C21" s="4" t="s">
        <v>35</v>
      </c>
      <c r="D21" s="4" t="s">
        <v>11</v>
      </c>
      <c r="E21" s="5">
        <v>114</v>
      </c>
      <c r="F21" s="5">
        <v>55.86</v>
      </c>
      <c r="H21" s="15" t="b">
        <f t="shared" si="0"/>
        <v>0</v>
      </c>
    </row>
    <row r="22" spans="1:8" x14ac:dyDescent="0.25">
      <c r="A22" s="2">
        <v>659446</v>
      </c>
      <c r="B22" s="3">
        <v>41279</v>
      </c>
      <c r="C22" s="4" t="s">
        <v>35</v>
      </c>
      <c r="D22" s="4" t="s">
        <v>12</v>
      </c>
      <c r="E22" s="5">
        <v>1008.72</v>
      </c>
      <c r="F22" s="5">
        <v>504.36</v>
      </c>
      <c r="H22" s="15" t="b">
        <f t="shared" si="0"/>
        <v>0</v>
      </c>
    </row>
    <row r="23" spans="1:8" x14ac:dyDescent="0.25">
      <c r="A23" s="2">
        <v>659446</v>
      </c>
      <c r="B23" s="3">
        <v>41279</v>
      </c>
      <c r="C23" s="4" t="s">
        <v>35</v>
      </c>
      <c r="D23" s="4" t="s">
        <v>11</v>
      </c>
      <c r="E23" s="5">
        <v>730.2</v>
      </c>
      <c r="F23" s="5">
        <v>365.1</v>
      </c>
      <c r="H23" s="15" t="b">
        <f t="shared" si="0"/>
        <v>0</v>
      </c>
    </row>
    <row r="24" spans="1:8" x14ac:dyDescent="0.25">
      <c r="A24" s="2">
        <v>659446</v>
      </c>
      <c r="B24" s="3">
        <v>41279</v>
      </c>
      <c r="C24" s="4" t="s">
        <v>34</v>
      </c>
      <c r="D24" s="4" t="s">
        <v>13</v>
      </c>
      <c r="E24" s="5">
        <v>3174</v>
      </c>
      <c r="F24" s="5">
        <v>1713.96</v>
      </c>
      <c r="H24" s="15" t="b">
        <f t="shared" si="0"/>
        <v>0</v>
      </c>
    </row>
    <row r="25" spans="1:8" x14ac:dyDescent="0.25">
      <c r="A25" s="2">
        <v>659446</v>
      </c>
      <c r="B25" s="3">
        <v>41279</v>
      </c>
      <c r="C25" s="4" t="s">
        <v>34</v>
      </c>
      <c r="D25" s="4" t="s">
        <v>5</v>
      </c>
      <c r="E25" s="5">
        <v>2304</v>
      </c>
      <c r="F25" s="5">
        <v>1082.8800000000001</v>
      </c>
      <c r="H25" s="15" t="b">
        <f t="shared" si="0"/>
        <v>0</v>
      </c>
    </row>
    <row r="26" spans="1:8" x14ac:dyDescent="0.25">
      <c r="A26" s="2">
        <v>659446</v>
      </c>
      <c r="B26" s="3">
        <v>41279</v>
      </c>
      <c r="C26" s="4" t="s">
        <v>34</v>
      </c>
      <c r="D26" s="4" t="s">
        <v>5</v>
      </c>
      <c r="E26" s="5">
        <v>2744.98</v>
      </c>
      <c r="F26" s="5">
        <v>1317.61</v>
      </c>
      <c r="H26" s="15" t="b">
        <f t="shared" si="0"/>
        <v>0</v>
      </c>
    </row>
    <row r="27" spans="1:8" x14ac:dyDescent="0.25">
      <c r="A27" s="2">
        <v>659446</v>
      </c>
      <c r="B27" s="3">
        <v>41279</v>
      </c>
      <c r="C27" s="4" t="s">
        <v>34</v>
      </c>
      <c r="D27" s="4" t="s">
        <v>5</v>
      </c>
      <c r="E27" s="5">
        <v>3361.2</v>
      </c>
      <c r="F27" s="5">
        <v>1579.75</v>
      </c>
      <c r="H27" s="15" t="b">
        <f t="shared" si="0"/>
        <v>0</v>
      </c>
    </row>
    <row r="28" spans="1:8" x14ac:dyDescent="0.25">
      <c r="A28" s="2">
        <v>659447</v>
      </c>
      <c r="B28" s="3">
        <v>41279</v>
      </c>
      <c r="C28" s="4" t="s">
        <v>35</v>
      </c>
      <c r="D28" s="4" t="s">
        <v>14</v>
      </c>
      <c r="E28" s="5">
        <v>48.48</v>
      </c>
      <c r="F28" s="5">
        <v>25.2</v>
      </c>
      <c r="H28" s="15" t="b">
        <f t="shared" si="0"/>
        <v>0</v>
      </c>
    </row>
    <row r="29" spans="1:8" x14ac:dyDescent="0.25">
      <c r="A29" s="2">
        <v>659447</v>
      </c>
      <c r="B29" s="3">
        <v>41279</v>
      </c>
      <c r="C29" s="4" t="s">
        <v>35</v>
      </c>
      <c r="D29" s="4" t="s">
        <v>15</v>
      </c>
      <c r="E29" s="5">
        <v>1664</v>
      </c>
      <c r="F29" s="5">
        <v>881.92</v>
      </c>
      <c r="H29" s="15" t="b">
        <f t="shared" si="0"/>
        <v>0</v>
      </c>
    </row>
    <row r="30" spans="1:8" x14ac:dyDescent="0.2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15" t="b">
        <f t="shared" si="0"/>
        <v>0</v>
      </c>
    </row>
    <row r="31" spans="1:8" x14ac:dyDescent="0.25">
      <c r="A31" s="2">
        <v>659449</v>
      </c>
      <c r="B31" s="3">
        <v>41281</v>
      </c>
      <c r="C31" s="4" t="s">
        <v>34</v>
      </c>
      <c r="D31" s="4" t="s">
        <v>13</v>
      </c>
      <c r="E31" s="5">
        <v>611.41999999999996</v>
      </c>
      <c r="F31" s="5">
        <v>324.06</v>
      </c>
      <c r="H31" s="15" t="b">
        <f t="shared" si="0"/>
        <v>0</v>
      </c>
    </row>
    <row r="32" spans="1:8" x14ac:dyDescent="0.25">
      <c r="A32" s="2">
        <v>659450</v>
      </c>
      <c r="B32" s="3">
        <v>41282</v>
      </c>
      <c r="C32" s="4" t="s">
        <v>34</v>
      </c>
      <c r="D32" s="4" t="s">
        <v>5</v>
      </c>
      <c r="E32" s="5">
        <v>962.88</v>
      </c>
      <c r="F32" s="5">
        <v>510.32</v>
      </c>
      <c r="H32" s="15" t="b">
        <f t="shared" si="0"/>
        <v>0</v>
      </c>
    </row>
    <row r="33" spans="1:8" x14ac:dyDescent="0.25">
      <c r="A33" s="2">
        <v>659451</v>
      </c>
      <c r="B33" s="3">
        <v>41283</v>
      </c>
      <c r="C33" s="4" t="s">
        <v>6</v>
      </c>
      <c r="D33" s="4" t="s">
        <v>7</v>
      </c>
      <c r="E33" s="5">
        <v>203.04</v>
      </c>
      <c r="F33" s="5">
        <v>95.4</v>
      </c>
      <c r="H33" s="15" t="b">
        <f t="shared" si="0"/>
        <v>0</v>
      </c>
    </row>
    <row r="34" spans="1:8" x14ac:dyDescent="0.25">
      <c r="A34" s="2">
        <v>659451</v>
      </c>
      <c r="B34" s="3">
        <v>41283</v>
      </c>
      <c r="C34" s="4" t="s">
        <v>6</v>
      </c>
      <c r="D34" s="4" t="s">
        <v>16</v>
      </c>
      <c r="E34" s="5">
        <v>256.2</v>
      </c>
      <c r="F34" s="5">
        <v>140.9</v>
      </c>
      <c r="H34" s="15" t="b">
        <f t="shared" si="0"/>
        <v>0</v>
      </c>
    </row>
    <row r="35" spans="1:8" x14ac:dyDescent="0.25">
      <c r="A35" s="2">
        <v>659452</v>
      </c>
      <c r="B35" s="3">
        <v>41284</v>
      </c>
      <c r="C35" s="4" t="s">
        <v>35</v>
      </c>
      <c r="D35" s="4" t="s">
        <v>14</v>
      </c>
      <c r="E35" s="5">
        <v>1360</v>
      </c>
      <c r="F35" s="5">
        <v>639.20000000000005</v>
      </c>
      <c r="H35" s="15" t="b">
        <f t="shared" si="0"/>
        <v>0</v>
      </c>
    </row>
    <row r="36" spans="1:8" x14ac:dyDescent="0.25">
      <c r="A36" s="2">
        <v>659453</v>
      </c>
      <c r="B36" s="3">
        <v>41284</v>
      </c>
      <c r="C36" s="4" t="s">
        <v>6</v>
      </c>
      <c r="D36" s="4" t="s">
        <v>17</v>
      </c>
      <c r="E36" s="5">
        <v>4309.2</v>
      </c>
      <c r="F36" s="5">
        <v>2326.9499999999998</v>
      </c>
      <c r="H36" s="15" t="b">
        <f t="shared" si="0"/>
        <v>0</v>
      </c>
    </row>
    <row r="37" spans="1:8" x14ac:dyDescent="0.25">
      <c r="A37" s="2">
        <v>659453</v>
      </c>
      <c r="B37" s="3">
        <v>41284</v>
      </c>
      <c r="C37" s="4" t="s">
        <v>6</v>
      </c>
      <c r="D37" s="4" t="s">
        <v>7</v>
      </c>
      <c r="E37" s="5">
        <v>241.28</v>
      </c>
      <c r="F37" s="5">
        <v>132.72</v>
      </c>
      <c r="H37" s="15" t="b">
        <f t="shared" si="0"/>
        <v>0</v>
      </c>
    </row>
    <row r="38" spans="1:8" x14ac:dyDescent="0.25">
      <c r="A38" s="2">
        <v>659454</v>
      </c>
      <c r="B38" s="3">
        <v>41285</v>
      </c>
      <c r="C38" s="4" t="s">
        <v>35</v>
      </c>
      <c r="D38" s="4" t="s">
        <v>12</v>
      </c>
      <c r="E38" s="5">
        <v>1672</v>
      </c>
      <c r="F38" s="5">
        <v>819.28</v>
      </c>
      <c r="H38" s="15" t="b">
        <f t="shared" si="0"/>
        <v>0</v>
      </c>
    </row>
    <row r="39" spans="1:8" x14ac:dyDescent="0.25">
      <c r="A39" s="2">
        <v>659455</v>
      </c>
      <c r="B39" s="3">
        <v>41285</v>
      </c>
      <c r="C39" s="4" t="s">
        <v>34</v>
      </c>
      <c r="D39" s="4" t="s">
        <v>10</v>
      </c>
      <c r="E39" s="5">
        <v>2631.6</v>
      </c>
      <c r="F39" s="5">
        <v>1421.04</v>
      </c>
      <c r="H39" s="15" t="b">
        <f t="shared" si="0"/>
        <v>0</v>
      </c>
    </row>
    <row r="40" spans="1:8" x14ac:dyDescent="0.25">
      <c r="A40" s="2">
        <v>659455</v>
      </c>
      <c r="B40" s="3">
        <v>41285</v>
      </c>
      <c r="C40" s="4" t="s">
        <v>35</v>
      </c>
      <c r="D40" s="4" t="s">
        <v>11</v>
      </c>
      <c r="E40" s="5">
        <v>368.72</v>
      </c>
      <c r="F40" s="5">
        <v>188.04</v>
      </c>
      <c r="H40" s="15" t="b">
        <f t="shared" si="0"/>
        <v>0</v>
      </c>
    </row>
    <row r="41" spans="1:8" x14ac:dyDescent="0.25">
      <c r="A41" s="2">
        <v>659455</v>
      </c>
      <c r="B41" s="3">
        <v>41285</v>
      </c>
      <c r="C41" s="4" t="s">
        <v>35</v>
      </c>
      <c r="D41" s="4" t="s">
        <v>14</v>
      </c>
      <c r="E41" s="5">
        <v>1632</v>
      </c>
      <c r="F41" s="5">
        <v>767.04</v>
      </c>
      <c r="H41" s="15" t="b">
        <f t="shared" si="0"/>
        <v>0</v>
      </c>
    </row>
    <row r="42" spans="1:8" x14ac:dyDescent="0.25">
      <c r="A42" s="2">
        <v>659455</v>
      </c>
      <c r="B42" s="3">
        <v>41285</v>
      </c>
      <c r="C42" s="4" t="s">
        <v>35</v>
      </c>
      <c r="D42" s="4" t="s">
        <v>11</v>
      </c>
      <c r="E42" s="5">
        <v>670.4</v>
      </c>
      <c r="F42" s="5">
        <v>341.92</v>
      </c>
      <c r="H42" s="15" t="b">
        <f t="shared" si="0"/>
        <v>0</v>
      </c>
    </row>
    <row r="43" spans="1:8" x14ac:dyDescent="0.25">
      <c r="A43" s="2">
        <v>659455</v>
      </c>
      <c r="B43" s="3">
        <v>41285</v>
      </c>
      <c r="C43" s="4" t="s">
        <v>6</v>
      </c>
      <c r="D43" s="4" t="s">
        <v>16</v>
      </c>
      <c r="E43" s="5">
        <v>39.04</v>
      </c>
      <c r="F43" s="5">
        <v>19.52</v>
      </c>
      <c r="H43" s="15" t="b">
        <f t="shared" si="0"/>
        <v>0</v>
      </c>
    </row>
    <row r="44" spans="1:8" x14ac:dyDescent="0.25">
      <c r="A44" s="2">
        <v>659455</v>
      </c>
      <c r="B44" s="3">
        <v>41285</v>
      </c>
      <c r="C44" s="4" t="s">
        <v>6</v>
      </c>
      <c r="D44" s="4" t="s">
        <v>7</v>
      </c>
      <c r="E44" s="5">
        <v>394.8</v>
      </c>
      <c r="F44" s="5">
        <v>197.4</v>
      </c>
      <c r="H44" s="15" t="b">
        <f t="shared" si="0"/>
        <v>0</v>
      </c>
    </row>
    <row r="45" spans="1:8" x14ac:dyDescent="0.25">
      <c r="A45" s="2">
        <v>659455</v>
      </c>
      <c r="B45" s="3">
        <v>41285</v>
      </c>
      <c r="C45" s="4" t="s">
        <v>35</v>
      </c>
      <c r="D45" s="4" t="s">
        <v>11</v>
      </c>
      <c r="E45" s="5">
        <v>219.06</v>
      </c>
      <c r="F45" s="5">
        <v>118.3</v>
      </c>
      <c r="H45" s="15" t="b">
        <f t="shared" si="0"/>
        <v>0</v>
      </c>
    </row>
    <row r="46" spans="1:8" x14ac:dyDescent="0.2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  <c r="H46" s="15" t="b">
        <f t="shared" si="0"/>
        <v>0</v>
      </c>
    </row>
    <row r="47" spans="1:8" x14ac:dyDescent="0.25">
      <c r="A47" s="2">
        <v>659456</v>
      </c>
      <c r="B47" s="3">
        <v>41286</v>
      </c>
      <c r="C47" s="4" t="s">
        <v>34</v>
      </c>
      <c r="D47" s="4" t="s">
        <v>13</v>
      </c>
      <c r="E47" s="5">
        <v>1150</v>
      </c>
      <c r="F47" s="5">
        <v>552</v>
      </c>
      <c r="H47" s="15" t="b">
        <f t="shared" si="0"/>
        <v>0</v>
      </c>
    </row>
    <row r="48" spans="1:8" x14ac:dyDescent="0.25">
      <c r="A48" s="2">
        <v>659456</v>
      </c>
      <c r="B48" s="3">
        <v>41286</v>
      </c>
      <c r="C48" s="4" t="s">
        <v>35</v>
      </c>
      <c r="D48" s="4" t="s">
        <v>12</v>
      </c>
      <c r="E48" s="5">
        <v>495</v>
      </c>
      <c r="F48" s="5">
        <v>237.6</v>
      </c>
      <c r="H48" s="15" t="b">
        <f t="shared" si="0"/>
        <v>0</v>
      </c>
    </row>
    <row r="49" spans="1:8" x14ac:dyDescent="0.25">
      <c r="A49" s="2">
        <v>659456</v>
      </c>
      <c r="B49" s="3">
        <v>41286</v>
      </c>
      <c r="C49" s="4" t="s">
        <v>6</v>
      </c>
      <c r="D49" s="4" t="s">
        <v>16</v>
      </c>
      <c r="E49" s="5">
        <v>51.24</v>
      </c>
      <c r="F49" s="5">
        <v>27.16</v>
      </c>
      <c r="H49" s="15" t="b">
        <f t="shared" si="0"/>
        <v>0</v>
      </c>
    </row>
    <row r="50" spans="1:8" x14ac:dyDescent="0.25">
      <c r="A50" s="2">
        <v>659457</v>
      </c>
      <c r="B50" s="3">
        <v>41286</v>
      </c>
      <c r="C50" s="4" t="s">
        <v>6</v>
      </c>
      <c r="D50" s="4" t="s">
        <v>16</v>
      </c>
      <c r="E50" s="5">
        <v>40.26</v>
      </c>
      <c r="F50" s="5">
        <v>21.33</v>
      </c>
      <c r="H50" s="15" t="b">
        <f t="shared" si="0"/>
        <v>0</v>
      </c>
    </row>
    <row r="51" spans="1:8" x14ac:dyDescent="0.25">
      <c r="A51" s="2">
        <v>659457</v>
      </c>
      <c r="B51" s="3">
        <v>41286</v>
      </c>
      <c r="C51" s="4" t="s">
        <v>35</v>
      </c>
      <c r="D51" s="4" t="s">
        <v>14</v>
      </c>
      <c r="E51" s="5">
        <v>60.6</v>
      </c>
      <c r="F51" s="5">
        <v>28.5</v>
      </c>
      <c r="H51" s="15" t="b">
        <f t="shared" si="0"/>
        <v>0</v>
      </c>
    </row>
    <row r="52" spans="1:8" x14ac:dyDescent="0.25">
      <c r="A52" s="2">
        <v>659457</v>
      </c>
      <c r="B52" s="3">
        <v>41286</v>
      </c>
      <c r="C52" s="4" t="s">
        <v>35</v>
      </c>
      <c r="D52" s="4" t="s">
        <v>11</v>
      </c>
      <c r="E52" s="5">
        <v>2394</v>
      </c>
      <c r="F52" s="5">
        <v>1292.76</v>
      </c>
      <c r="H52" s="15" t="b">
        <f t="shared" si="0"/>
        <v>0</v>
      </c>
    </row>
    <row r="53" spans="1:8" x14ac:dyDescent="0.25">
      <c r="A53" s="2">
        <v>659458</v>
      </c>
      <c r="B53" s="3">
        <v>41287</v>
      </c>
      <c r="C53" s="4" t="s">
        <v>6</v>
      </c>
      <c r="D53" s="4" t="s">
        <v>16</v>
      </c>
      <c r="E53" s="5">
        <v>207.36</v>
      </c>
      <c r="F53" s="5">
        <v>107.82</v>
      </c>
      <c r="H53" s="15" t="b">
        <f t="shared" si="0"/>
        <v>0</v>
      </c>
    </row>
    <row r="54" spans="1:8" x14ac:dyDescent="0.25">
      <c r="A54" s="2">
        <v>659458</v>
      </c>
      <c r="B54" s="3">
        <v>41287</v>
      </c>
      <c r="C54" s="4" t="s">
        <v>6</v>
      </c>
      <c r="D54" s="4" t="s">
        <v>17</v>
      </c>
      <c r="E54" s="5">
        <v>1316.7</v>
      </c>
      <c r="F54" s="5">
        <v>618.84</v>
      </c>
      <c r="H54" s="15" t="b">
        <f t="shared" si="0"/>
        <v>0</v>
      </c>
    </row>
    <row r="55" spans="1:8" x14ac:dyDescent="0.25">
      <c r="A55" s="2">
        <v>659459</v>
      </c>
      <c r="B55" s="3">
        <v>41288</v>
      </c>
      <c r="C55" s="4" t="s">
        <v>6</v>
      </c>
      <c r="D55" s="4" t="s">
        <v>16</v>
      </c>
      <c r="E55" s="5">
        <v>183</v>
      </c>
      <c r="F55" s="5">
        <v>95.2</v>
      </c>
      <c r="H55" s="15" t="b">
        <f t="shared" si="0"/>
        <v>0</v>
      </c>
    </row>
  </sheetData>
  <conditionalFormatting sqref="E9:E55">
    <cfRule type="expression" dxfId="1" priority="1">
      <formula>OR(A9=$A$4,A9=$A$5)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00FF"/>
  </sheetPr>
  <dimension ref="A1:H55"/>
  <sheetViews>
    <sheetView workbookViewId="0">
      <selection activeCell="A5" sqref="A5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4.140625" customWidth="1"/>
    <col min="4" max="4" width="11.7109375" customWidth="1"/>
    <col min="5" max="5" width="10.7109375" customWidth="1"/>
    <col min="6" max="6" width="11.140625" customWidth="1"/>
    <col min="10" max="10" width="15.28515625" bestFit="1" customWidth="1"/>
    <col min="11" max="11" width="10.7109375" bestFit="1" customWidth="1"/>
    <col min="12" max="12" width="14.140625" customWidth="1"/>
    <col min="13" max="13" width="11.7109375" customWidth="1"/>
    <col min="14" max="14" width="10.7109375" customWidth="1"/>
    <col min="15" max="15" width="11.140625" customWidth="1"/>
  </cols>
  <sheetData>
    <row r="1" spans="1:8" x14ac:dyDescent="0.25">
      <c r="A1" t="s">
        <v>101</v>
      </c>
    </row>
    <row r="3" spans="1:8" x14ac:dyDescent="0.25">
      <c r="A3" s="25" t="s">
        <v>33</v>
      </c>
    </row>
    <row r="4" spans="1:8" x14ac:dyDescent="0.25">
      <c r="A4" s="2">
        <v>659440</v>
      </c>
    </row>
    <row r="5" spans="1:8" x14ac:dyDescent="0.25">
      <c r="A5" s="2">
        <v>659442</v>
      </c>
    </row>
    <row r="8" spans="1:8" x14ac:dyDescent="0.25">
      <c r="A8" s="1" t="s">
        <v>33</v>
      </c>
      <c r="B8" s="1" t="s">
        <v>0</v>
      </c>
      <c r="C8" s="1" t="s">
        <v>1</v>
      </c>
      <c r="D8" s="1" t="s">
        <v>2</v>
      </c>
      <c r="E8" s="1" t="s">
        <v>3</v>
      </c>
      <c r="F8" s="1" t="s">
        <v>4</v>
      </c>
    </row>
    <row r="9" spans="1:8" x14ac:dyDescent="0.25">
      <c r="A9" s="2">
        <v>659439</v>
      </c>
      <c r="B9" s="3">
        <v>41275</v>
      </c>
      <c r="C9" s="4" t="s">
        <v>34</v>
      </c>
      <c r="D9" s="4" t="s">
        <v>5</v>
      </c>
      <c r="E9" s="5">
        <v>1232.44</v>
      </c>
      <c r="F9" s="5">
        <v>591.58000000000004</v>
      </c>
      <c r="H9" s="15" t="e">
        <f>MATCH(A9,$A$4:$A$5,0)</f>
        <v>#N/A</v>
      </c>
    </row>
    <row r="10" spans="1:8" x14ac:dyDescent="0.25">
      <c r="A10" s="2">
        <v>659440</v>
      </c>
      <c r="B10" s="3">
        <v>41276</v>
      </c>
      <c r="C10" s="4" t="s">
        <v>6</v>
      </c>
      <c r="D10" s="4" t="s">
        <v>7</v>
      </c>
      <c r="E10" s="5">
        <v>451.2</v>
      </c>
      <c r="F10" s="5">
        <v>212.08</v>
      </c>
      <c r="H10" s="15">
        <f t="shared" ref="H10:H55" si="0">MATCH(A10,$A$4:$A$5,0)</f>
        <v>1</v>
      </c>
    </row>
    <row r="11" spans="1:8" x14ac:dyDescent="0.25">
      <c r="A11" s="2">
        <v>659440</v>
      </c>
      <c r="B11" s="3">
        <v>41276</v>
      </c>
      <c r="C11" s="4" t="s">
        <v>34</v>
      </c>
      <c r="D11" s="4" t="s">
        <v>8</v>
      </c>
      <c r="E11" s="5">
        <v>357.5</v>
      </c>
      <c r="F11" s="5">
        <v>193.06</v>
      </c>
      <c r="H11" s="15">
        <f t="shared" si="0"/>
        <v>1</v>
      </c>
    </row>
    <row r="12" spans="1:8" x14ac:dyDescent="0.25">
      <c r="A12" s="2">
        <v>659440</v>
      </c>
      <c r="B12" s="3">
        <v>41276</v>
      </c>
      <c r="C12" s="4" t="s">
        <v>6</v>
      </c>
      <c r="D12" s="4" t="s">
        <v>9</v>
      </c>
      <c r="E12" s="5">
        <v>1957.6</v>
      </c>
      <c r="F12" s="5">
        <v>1037.55</v>
      </c>
      <c r="H12" s="15">
        <f t="shared" si="0"/>
        <v>1</v>
      </c>
    </row>
    <row r="13" spans="1:8" x14ac:dyDescent="0.25">
      <c r="A13" s="2">
        <v>659441</v>
      </c>
      <c r="B13" s="3">
        <v>41277</v>
      </c>
      <c r="C13" s="4" t="s">
        <v>34</v>
      </c>
      <c r="D13" s="4" t="s">
        <v>5</v>
      </c>
      <c r="E13" s="5">
        <v>561.67999999999995</v>
      </c>
      <c r="F13" s="5">
        <v>303.31</v>
      </c>
      <c r="H13" s="15" t="e">
        <f t="shared" si="0"/>
        <v>#N/A</v>
      </c>
    </row>
    <row r="14" spans="1:8" x14ac:dyDescent="0.25">
      <c r="A14" s="2">
        <v>659441</v>
      </c>
      <c r="B14" s="3">
        <v>41277</v>
      </c>
      <c r="C14" s="4" t="s">
        <v>34</v>
      </c>
      <c r="D14" s="4" t="s">
        <v>8</v>
      </c>
      <c r="E14" s="5">
        <v>1980</v>
      </c>
      <c r="F14" s="5">
        <v>990</v>
      </c>
      <c r="H14" s="15" t="e">
        <f t="shared" si="0"/>
        <v>#N/A</v>
      </c>
    </row>
    <row r="15" spans="1:8" x14ac:dyDescent="0.25">
      <c r="A15" s="2">
        <v>659442</v>
      </c>
      <c r="B15" s="3">
        <v>41278</v>
      </c>
      <c r="C15" s="4" t="s">
        <v>34</v>
      </c>
      <c r="D15" s="4" t="s">
        <v>5</v>
      </c>
      <c r="E15" s="5">
        <v>2772</v>
      </c>
      <c r="F15" s="5">
        <v>1469.16</v>
      </c>
      <c r="H15" s="15">
        <f t="shared" si="0"/>
        <v>2</v>
      </c>
    </row>
    <row r="16" spans="1:8" x14ac:dyDescent="0.25">
      <c r="A16" s="2">
        <v>659443</v>
      </c>
      <c r="B16" s="3">
        <v>41279</v>
      </c>
      <c r="C16" s="4" t="s">
        <v>34</v>
      </c>
      <c r="D16" s="4" t="s">
        <v>5</v>
      </c>
      <c r="E16" s="5">
        <v>4536</v>
      </c>
      <c r="F16" s="5">
        <v>2358.7199999999998</v>
      </c>
      <c r="H16" s="15" t="e">
        <f t="shared" si="0"/>
        <v>#N/A</v>
      </c>
    </row>
    <row r="17" spans="1:8" x14ac:dyDescent="0.25">
      <c r="A17" s="2">
        <v>659443</v>
      </c>
      <c r="B17" s="3">
        <v>41279</v>
      </c>
      <c r="C17" s="4" t="s">
        <v>34</v>
      </c>
      <c r="D17" s="4" t="s">
        <v>10</v>
      </c>
      <c r="E17" s="5">
        <v>503.1</v>
      </c>
      <c r="F17" s="5">
        <v>251.56</v>
      </c>
      <c r="H17" s="15" t="e">
        <f t="shared" si="0"/>
        <v>#N/A</v>
      </c>
    </row>
    <row r="18" spans="1:8" x14ac:dyDescent="0.25">
      <c r="A18" s="2">
        <v>659444</v>
      </c>
      <c r="B18" s="3">
        <v>41279</v>
      </c>
      <c r="C18" s="4" t="s">
        <v>6</v>
      </c>
      <c r="D18" s="4" t="s">
        <v>9</v>
      </c>
      <c r="E18" s="5">
        <v>3938.4</v>
      </c>
      <c r="F18" s="5">
        <v>1890.4</v>
      </c>
      <c r="H18" s="15" t="e">
        <f t="shared" si="0"/>
        <v>#N/A</v>
      </c>
    </row>
    <row r="19" spans="1:8" x14ac:dyDescent="0.25">
      <c r="A19" s="2">
        <v>659444</v>
      </c>
      <c r="B19" s="3">
        <v>41279</v>
      </c>
      <c r="C19" s="4" t="s">
        <v>34</v>
      </c>
      <c r="D19" s="4" t="s">
        <v>10</v>
      </c>
      <c r="E19" s="5">
        <v>464.96</v>
      </c>
      <c r="F19" s="5">
        <v>237.12</v>
      </c>
      <c r="H19" s="15" t="e">
        <f t="shared" si="0"/>
        <v>#N/A</v>
      </c>
    </row>
    <row r="20" spans="1:8" x14ac:dyDescent="0.25">
      <c r="A20" s="2">
        <v>659445</v>
      </c>
      <c r="B20" s="3">
        <v>41279</v>
      </c>
      <c r="C20" s="4" t="s">
        <v>34</v>
      </c>
      <c r="D20" s="4" t="s">
        <v>8</v>
      </c>
      <c r="E20" s="5">
        <v>1650</v>
      </c>
      <c r="F20" s="5">
        <v>792</v>
      </c>
      <c r="H20" s="15" t="e">
        <f t="shared" si="0"/>
        <v>#N/A</v>
      </c>
    </row>
    <row r="21" spans="1:8" x14ac:dyDescent="0.25">
      <c r="A21" s="2">
        <v>659445</v>
      </c>
      <c r="B21" s="3">
        <v>41279</v>
      </c>
      <c r="C21" s="4" t="s">
        <v>35</v>
      </c>
      <c r="D21" s="4" t="s">
        <v>11</v>
      </c>
      <c r="E21" s="5">
        <v>114</v>
      </c>
      <c r="F21" s="5">
        <v>55.86</v>
      </c>
      <c r="H21" s="15" t="e">
        <f t="shared" si="0"/>
        <v>#N/A</v>
      </c>
    </row>
    <row r="22" spans="1:8" x14ac:dyDescent="0.25">
      <c r="A22" s="2">
        <v>659446</v>
      </c>
      <c r="B22" s="3">
        <v>41279</v>
      </c>
      <c r="C22" s="4" t="s">
        <v>35</v>
      </c>
      <c r="D22" s="4" t="s">
        <v>12</v>
      </c>
      <c r="E22" s="5">
        <v>1008.72</v>
      </c>
      <c r="F22" s="5">
        <v>504.36</v>
      </c>
      <c r="H22" s="15" t="e">
        <f t="shared" si="0"/>
        <v>#N/A</v>
      </c>
    </row>
    <row r="23" spans="1:8" x14ac:dyDescent="0.25">
      <c r="A23" s="2">
        <v>659446</v>
      </c>
      <c r="B23" s="3">
        <v>41279</v>
      </c>
      <c r="C23" s="4" t="s">
        <v>35</v>
      </c>
      <c r="D23" s="4" t="s">
        <v>11</v>
      </c>
      <c r="E23" s="5">
        <v>730.2</v>
      </c>
      <c r="F23" s="5">
        <v>365.1</v>
      </c>
      <c r="H23" s="15" t="e">
        <f t="shared" si="0"/>
        <v>#N/A</v>
      </c>
    </row>
    <row r="24" spans="1:8" x14ac:dyDescent="0.25">
      <c r="A24" s="2">
        <v>659446</v>
      </c>
      <c r="B24" s="3">
        <v>41279</v>
      </c>
      <c r="C24" s="4" t="s">
        <v>34</v>
      </c>
      <c r="D24" s="4" t="s">
        <v>13</v>
      </c>
      <c r="E24" s="5">
        <v>3174</v>
      </c>
      <c r="F24" s="5">
        <v>1713.96</v>
      </c>
      <c r="H24" s="15" t="e">
        <f t="shared" si="0"/>
        <v>#N/A</v>
      </c>
    </row>
    <row r="25" spans="1:8" x14ac:dyDescent="0.25">
      <c r="A25" s="2">
        <v>659446</v>
      </c>
      <c r="B25" s="3">
        <v>41279</v>
      </c>
      <c r="C25" s="4" t="s">
        <v>34</v>
      </c>
      <c r="D25" s="4" t="s">
        <v>5</v>
      </c>
      <c r="E25" s="5">
        <v>2304</v>
      </c>
      <c r="F25" s="5">
        <v>1082.8800000000001</v>
      </c>
      <c r="H25" s="15" t="e">
        <f t="shared" si="0"/>
        <v>#N/A</v>
      </c>
    </row>
    <row r="26" spans="1:8" x14ac:dyDescent="0.25">
      <c r="A26" s="2">
        <v>659446</v>
      </c>
      <c r="B26" s="3">
        <v>41279</v>
      </c>
      <c r="C26" s="4" t="s">
        <v>34</v>
      </c>
      <c r="D26" s="4" t="s">
        <v>5</v>
      </c>
      <c r="E26" s="5">
        <v>2744.98</v>
      </c>
      <c r="F26" s="5">
        <v>1317.61</v>
      </c>
      <c r="H26" s="15" t="e">
        <f t="shared" si="0"/>
        <v>#N/A</v>
      </c>
    </row>
    <row r="27" spans="1:8" x14ac:dyDescent="0.25">
      <c r="A27" s="2">
        <v>659446</v>
      </c>
      <c r="B27" s="3">
        <v>41279</v>
      </c>
      <c r="C27" s="4" t="s">
        <v>34</v>
      </c>
      <c r="D27" s="4" t="s">
        <v>5</v>
      </c>
      <c r="E27" s="5">
        <v>3361.2</v>
      </c>
      <c r="F27" s="5">
        <v>1579.75</v>
      </c>
      <c r="H27" s="15" t="e">
        <f t="shared" si="0"/>
        <v>#N/A</v>
      </c>
    </row>
    <row r="28" spans="1:8" x14ac:dyDescent="0.25">
      <c r="A28" s="2">
        <v>659447</v>
      </c>
      <c r="B28" s="3">
        <v>41279</v>
      </c>
      <c r="C28" s="4" t="s">
        <v>35</v>
      </c>
      <c r="D28" s="4" t="s">
        <v>14</v>
      </c>
      <c r="E28" s="5">
        <v>48.48</v>
      </c>
      <c r="F28" s="5">
        <v>25.2</v>
      </c>
      <c r="H28" s="15" t="e">
        <f t="shared" si="0"/>
        <v>#N/A</v>
      </c>
    </row>
    <row r="29" spans="1:8" x14ac:dyDescent="0.25">
      <c r="A29" s="2">
        <v>659447</v>
      </c>
      <c r="B29" s="3">
        <v>41279</v>
      </c>
      <c r="C29" s="4" t="s">
        <v>35</v>
      </c>
      <c r="D29" s="4" t="s">
        <v>15</v>
      </c>
      <c r="E29" s="5">
        <v>1664</v>
      </c>
      <c r="F29" s="5">
        <v>881.92</v>
      </c>
      <c r="H29" s="15" t="e">
        <f t="shared" si="0"/>
        <v>#N/A</v>
      </c>
    </row>
    <row r="30" spans="1:8" x14ac:dyDescent="0.25">
      <c r="A30" s="2">
        <v>659448</v>
      </c>
      <c r="B30" s="3">
        <v>41280</v>
      </c>
      <c r="C30" s="4" t="s">
        <v>35</v>
      </c>
      <c r="D30" s="4" t="s">
        <v>11</v>
      </c>
      <c r="E30" s="5">
        <v>670.4</v>
      </c>
      <c r="F30" s="5">
        <v>355.28</v>
      </c>
      <c r="H30" s="15" t="e">
        <f t="shared" si="0"/>
        <v>#N/A</v>
      </c>
    </row>
    <row r="31" spans="1:8" x14ac:dyDescent="0.25">
      <c r="A31" s="2">
        <v>659449</v>
      </c>
      <c r="B31" s="3">
        <v>41281</v>
      </c>
      <c r="C31" s="4" t="s">
        <v>34</v>
      </c>
      <c r="D31" s="4" t="s">
        <v>13</v>
      </c>
      <c r="E31" s="5">
        <v>611.41999999999996</v>
      </c>
      <c r="F31" s="5">
        <v>324.06</v>
      </c>
      <c r="H31" s="15" t="e">
        <f t="shared" si="0"/>
        <v>#N/A</v>
      </c>
    </row>
    <row r="32" spans="1:8" x14ac:dyDescent="0.25">
      <c r="A32" s="2">
        <v>659450</v>
      </c>
      <c r="B32" s="3">
        <v>41282</v>
      </c>
      <c r="C32" s="4" t="s">
        <v>34</v>
      </c>
      <c r="D32" s="4" t="s">
        <v>5</v>
      </c>
      <c r="E32" s="5">
        <v>962.88</v>
      </c>
      <c r="F32" s="5">
        <v>510.32</v>
      </c>
      <c r="H32" s="15" t="e">
        <f t="shared" si="0"/>
        <v>#N/A</v>
      </c>
    </row>
    <row r="33" spans="1:8" x14ac:dyDescent="0.25">
      <c r="A33" s="2">
        <v>659451</v>
      </c>
      <c r="B33" s="3">
        <v>41283</v>
      </c>
      <c r="C33" s="4" t="s">
        <v>6</v>
      </c>
      <c r="D33" s="4" t="s">
        <v>7</v>
      </c>
      <c r="E33" s="5">
        <v>203.04</v>
      </c>
      <c r="F33" s="5">
        <v>95.4</v>
      </c>
      <c r="H33" s="15" t="e">
        <f t="shared" si="0"/>
        <v>#N/A</v>
      </c>
    </row>
    <row r="34" spans="1:8" x14ac:dyDescent="0.25">
      <c r="A34" s="2">
        <v>659451</v>
      </c>
      <c r="B34" s="3">
        <v>41283</v>
      </c>
      <c r="C34" s="4" t="s">
        <v>6</v>
      </c>
      <c r="D34" s="4" t="s">
        <v>16</v>
      </c>
      <c r="E34" s="5">
        <v>256.2</v>
      </c>
      <c r="F34" s="5">
        <v>140.9</v>
      </c>
      <c r="H34" s="15" t="e">
        <f t="shared" si="0"/>
        <v>#N/A</v>
      </c>
    </row>
    <row r="35" spans="1:8" x14ac:dyDescent="0.25">
      <c r="A35" s="2">
        <v>659452</v>
      </c>
      <c r="B35" s="3">
        <v>41284</v>
      </c>
      <c r="C35" s="4" t="s">
        <v>35</v>
      </c>
      <c r="D35" s="4" t="s">
        <v>14</v>
      </c>
      <c r="E35" s="5">
        <v>1360</v>
      </c>
      <c r="F35" s="5">
        <v>639.20000000000005</v>
      </c>
      <c r="H35" s="15" t="e">
        <f t="shared" si="0"/>
        <v>#N/A</v>
      </c>
    </row>
    <row r="36" spans="1:8" x14ac:dyDescent="0.25">
      <c r="A36" s="2">
        <v>659453</v>
      </c>
      <c r="B36" s="3">
        <v>41284</v>
      </c>
      <c r="C36" s="4" t="s">
        <v>6</v>
      </c>
      <c r="D36" s="4" t="s">
        <v>17</v>
      </c>
      <c r="E36" s="5">
        <v>4309.2</v>
      </c>
      <c r="F36" s="5">
        <v>2326.9499999999998</v>
      </c>
      <c r="H36" s="15" t="e">
        <f t="shared" si="0"/>
        <v>#N/A</v>
      </c>
    </row>
    <row r="37" spans="1:8" x14ac:dyDescent="0.25">
      <c r="A37" s="2">
        <v>659453</v>
      </c>
      <c r="B37" s="3">
        <v>41284</v>
      </c>
      <c r="C37" s="4" t="s">
        <v>6</v>
      </c>
      <c r="D37" s="4" t="s">
        <v>7</v>
      </c>
      <c r="E37" s="5">
        <v>241.28</v>
      </c>
      <c r="F37" s="5">
        <v>132.72</v>
      </c>
      <c r="H37" s="15" t="e">
        <f t="shared" si="0"/>
        <v>#N/A</v>
      </c>
    </row>
    <row r="38" spans="1:8" x14ac:dyDescent="0.25">
      <c r="A38" s="2">
        <v>659454</v>
      </c>
      <c r="B38" s="3">
        <v>41285</v>
      </c>
      <c r="C38" s="4" t="s">
        <v>35</v>
      </c>
      <c r="D38" s="4" t="s">
        <v>12</v>
      </c>
      <c r="E38" s="5">
        <v>1672</v>
      </c>
      <c r="F38" s="5">
        <v>819.28</v>
      </c>
      <c r="H38" s="15" t="e">
        <f t="shared" si="0"/>
        <v>#N/A</v>
      </c>
    </row>
    <row r="39" spans="1:8" x14ac:dyDescent="0.25">
      <c r="A39" s="2">
        <v>659455</v>
      </c>
      <c r="B39" s="3">
        <v>41285</v>
      </c>
      <c r="C39" s="4" t="s">
        <v>34</v>
      </c>
      <c r="D39" s="4" t="s">
        <v>10</v>
      </c>
      <c r="E39" s="5">
        <v>2631.6</v>
      </c>
      <c r="F39" s="5">
        <v>1421.04</v>
      </c>
      <c r="H39" s="15" t="e">
        <f t="shared" si="0"/>
        <v>#N/A</v>
      </c>
    </row>
    <row r="40" spans="1:8" x14ac:dyDescent="0.25">
      <c r="A40" s="2">
        <v>659455</v>
      </c>
      <c r="B40" s="3">
        <v>41285</v>
      </c>
      <c r="C40" s="4" t="s">
        <v>35</v>
      </c>
      <c r="D40" s="4" t="s">
        <v>11</v>
      </c>
      <c r="E40" s="5">
        <v>368.72</v>
      </c>
      <c r="F40" s="5">
        <v>188.04</v>
      </c>
      <c r="H40" s="15" t="e">
        <f t="shared" si="0"/>
        <v>#N/A</v>
      </c>
    </row>
    <row r="41" spans="1:8" x14ac:dyDescent="0.25">
      <c r="A41" s="2">
        <v>659455</v>
      </c>
      <c r="B41" s="3">
        <v>41285</v>
      </c>
      <c r="C41" s="4" t="s">
        <v>35</v>
      </c>
      <c r="D41" s="4" t="s">
        <v>14</v>
      </c>
      <c r="E41" s="5">
        <v>1632</v>
      </c>
      <c r="F41" s="5">
        <v>767.04</v>
      </c>
      <c r="H41" s="15" t="e">
        <f t="shared" si="0"/>
        <v>#N/A</v>
      </c>
    </row>
    <row r="42" spans="1:8" x14ac:dyDescent="0.25">
      <c r="A42" s="2">
        <v>659455</v>
      </c>
      <c r="B42" s="3">
        <v>41285</v>
      </c>
      <c r="C42" s="4" t="s">
        <v>35</v>
      </c>
      <c r="D42" s="4" t="s">
        <v>11</v>
      </c>
      <c r="E42" s="5">
        <v>670.4</v>
      </c>
      <c r="F42" s="5">
        <v>341.92</v>
      </c>
      <c r="H42" s="15" t="e">
        <f t="shared" si="0"/>
        <v>#N/A</v>
      </c>
    </row>
    <row r="43" spans="1:8" x14ac:dyDescent="0.25">
      <c r="A43" s="2">
        <v>659455</v>
      </c>
      <c r="B43" s="3">
        <v>41285</v>
      </c>
      <c r="C43" s="4" t="s">
        <v>6</v>
      </c>
      <c r="D43" s="4" t="s">
        <v>16</v>
      </c>
      <c r="E43" s="5">
        <v>39.04</v>
      </c>
      <c r="F43" s="5">
        <v>19.52</v>
      </c>
      <c r="H43" s="15" t="e">
        <f t="shared" si="0"/>
        <v>#N/A</v>
      </c>
    </row>
    <row r="44" spans="1:8" x14ac:dyDescent="0.25">
      <c r="A44" s="2">
        <v>659455</v>
      </c>
      <c r="B44" s="3">
        <v>41285</v>
      </c>
      <c r="C44" s="4" t="s">
        <v>6</v>
      </c>
      <c r="D44" s="4" t="s">
        <v>7</v>
      </c>
      <c r="E44" s="5">
        <v>394.8</v>
      </c>
      <c r="F44" s="5">
        <v>197.4</v>
      </c>
      <c r="H44" s="15" t="e">
        <f t="shared" si="0"/>
        <v>#N/A</v>
      </c>
    </row>
    <row r="45" spans="1:8" x14ac:dyDescent="0.25">
      <c r="A45" s="2">
        <v>659455</v>
      </c>
      <c r="B45" s="3">
        <v>41285</v>
      </c>
      <c r="C45" s="4" t="s">
        <v>35</v>
      </c>
      <c r="D45" s="4" t="s">
        <v>11</v>
      </c>
      <c r="E45" s="5">
        <v>219.06</v>
      </c>
      <c r="F45" s="5">
        <v>118.3</v>
      </c>
      <c r="H45" s="15" t="e">
        <f t="shared" si="0"/>
        <v>#N/A</v>
      </c>
    </row>
    <row r="46" spans="1:8" x14ac:dyDescent="0.25">
      <c r="A46" s="2">
        <v>659455</v>
      </c>
      <c r="B46" s="3">
        <v>41285</v>
      </c>
      <c r="C46" s="4" t="s">
        <v>34</v>
      </c>
      <c r="D46" s="4" t="s">
        <v>5</v>
      </c>
      <c r="E46" s="5">
        <v>200.6</v>
      </c>
      <c r="F46" s="5">
        <v>106.32</v>
      </c>
      <c r="H46" s="15" t="e">
        <f t="shared" si="0"/>
        <v>#N/A</v>
      </c>
    </row>
    <row r="47" spans="1:8" x14ac:dyDescent="0.25">
      <c r="A47" s="2">
        <v>659456</v>
      </c>
      <c r="B47" s="3">
        <v>41286</v>
      </c>
      <c r="C47" s="4" t="s">
        <v>34</v>
      </c>
      <c r="D47" s="4" t="s">
        <v>13</v>
      </c>
      <c r="E47" s="5">
        <v>1150</v>
      </c>
      <c r="F47" s="5">
        <v>552</v>
      </c>
      <c r="H47" s="15" t="e">
        <f t="shared" si="0"/>
        <v>#N/A</v>
      </c>
    </row>
    <row r="48" spans="1:8" x14ac:dyDescent="0.25">
      <c r="A48" s="2">
        <v>659456</v>
      </c>
      <c r="B48" s="3">
        <v>41286</v>
      </c>
      <c r="C48" s="4" t="s">
        <v>35</v>
      </c>
      <c r="D48" s="4" t="s">
        <v>12</v>
      </c>
      <c r="E48" s="5">
        <v>495</v>
      </c>
      <c r="F48" s="5">
        <v>237.6</v>
      </c>
      <c r="H48" s="15" t="e">
        <f t="shared" si="0"/>
        <v>#N/A</v>
      </c>
    </row>
    <row r="49" spans="1:8" x14ac:dyDescent="0.25">
      <c r="A49" s="2">
        <v>659456</v>
      </c>
      <c r="B49" s="3">
        <v>41286</v>
      </c>
      <c r="C49" s="4" t="s">
        <v>6</v>
      </c>
      <c r="D49" s="4" t="s">
        <v>16</v>
      </c>
      <c r="E49" s="5">
        <v>51.24</v>
      </c>
      <c r="F49" s="5">
        <v>27.16</v>
      </c>
      <c r="H49" s="15" t="e">
        <f t="shared" si="0"/>
        <v>#N/A</v>
      </c>
    </row>
    <row r="50" spans="1:8" x14ac:dyDescent="0.25">
      <c r="A50" s="2">
        <v>659457</v>
      </c>
      <c r="B50" s="3">
        <v>41286</v>
      </c>
      <c r="C50" s="4" t="s">
        <v>6</v>
      </c>
      <c r="D50" s="4" t="s">
        <v>16</v>
      </c>
      <c r="E50" s="5">
        <v>40.26</v>
      </c>
      <c r="F50" s="5">
        <v>21.33</v>
      </c>
      <c r="H50" s="15" t="e">
        <f t="shared" si="0"/>
        <v>#N/A</v>
      </c>
    </row>
    <row r="51" spans="1:8" x14ac:dyDescent="0.25">
      <c r="A51" s="2">
        <v>659457</v>
      </c>
      <c r="B51" s="3">
        <v>41286</v>
      </c>
      <c r="C51" s="4" t="s">
        <v>35</v>
      </c>
      <c r="D51" s="4" t="s">
        <v>14</v>
      </c>
      <c r="E51" s="5">
        <v>60.6</v>
      </c>
      <c r="F51" s="5">
        <v>28.5</v>
      </c>
      <c r="H51" s="15" t="e">
        <f t="shared" si="0"/>
        <v>#N/A</v>
      </c>
    </row>
    <row r="52" spans="1:8" x14ac:dyDescent="0.25">
      <c r="A52" s="2">
        <v>659457</v>
      </c>
      <c r="B52" s="3">
        <v>41286</v>
      </c>
      <c r="C52" s="4" t="s">
        <v>35</v>
      </c>
      <c r="D52" s="4" t="s">
        <v>11</v>
      </c>
      <c r="E52" s="5">
        <v>2394</v>
      </c>
      <c r="F52" s="5">
        <v>1292.76</v>
      </c>
      <c r="H52" s="15" t="e">
        <f t="shared" si="0"/>
        <v>#N/A</v>
      </c>
    </row>
    <row r="53" spans="1:8" x14ac:dyDescent="0.25">
      <c r="A53" s="2">
        <v>659458</v>
      </c>
      <c r="B53" s="3">
        <v>41287</v>
      </c>
      <c r="C53" s="4" t="s">
        <v>6</v>
      </c>
      <c r="D53" s="4" t="s">
        <v>16</v>
      </c>
      <c r="E53" s="5">
        <v>207.36</v>
      </c>
      <c r="F53" s="5">
        <v>107.82</v>
      </c>
      <c r="H53" s="15" t="e">
        <f t="shared" si="0"/>
        <v>#N/A</v>
      </c>
    </row>
    <row r="54" spans="1:8" x14ac:dyDescent="0.25">
      <c r="A54" s="2">
        <v>659458</v>
      </c>
      <c r="B54" s="3">
        <v>41287</v>
      </c>
      <c r="C54" s="4" t="s">
        <v>6</v>
      </c>
      <c r="D54" s="4" t="s">
        <v>17</v>
      </c>
      <c r="E54" s="5">
        <v>1316.7</v>
      </c>
      <c r="F54" s="5">
        <v>618.84</v>
      </c>
      <c r="H54" s="15" t="e">
        <f t="shared" si="0"/>
        <v>#N/A</v>
      </c>
    </row>
    <row r="55" spans="1:8" x14ac:dyDescent="0.25">
      <c r="A55" s="2">
        <v>659459</v>
      </c>
      <c r="B55" s="3">
        <v>41288</v>
      </c>
      <c r="C55" s="4" t="s">
        <v>6</v>
      </c>
      <c r="D55" s="4" t="s">
        <v>16</v>
      </c>
      <c r="E55" s="5">
        <v>183</v>
      </c>
      <c r="F55" s="5">
        <v>95.2</v>
      </c>
      <c r="H55" s="15" t="e">
        <f t="shared" si="0"/>
        <v>#N/A</v>
      </c>
    </row>
  </sheetData>
  <conditionalFormatting sqref="E9:E55">
    <cfRule type="expression" dxfId="0" priority="1">
      <formula>MATCH(A9,$A$4:$A$5,0)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Topics</vt:lpstr>
      <vt:lpstr>CF(1-5)</vt:lpstr>
      <vt:lpstr>CF(6-7)</vt:lpstr>
      <vt:lpstr>CF(8-11)</vt:lpstr>
      <vt:lpstr>CF(12-13)</vt:lpstr>
      <vt:lpstr>CF(14-15)</vt:lpstr>
      <vt:lpstr>CF(16)</vt:lpstr>
      <vt:lpstr>CF(17)</vt:lpstr>
      <vt:lpstr>CF(18-21)</vt:lpstr>
      <vt:lpstr>CF(22-23)</vt:lpstr>
      <vt:lpstr>CF(24)</vt:lpstr>
      <vt:lpstr>CF(25)</vt:lpstr>
      <vt:lpstr>CF(26)</vt:lpstr>
      <vt:lpstr>CF(27)</vt:lpstr>
      <vt:lpstr>CF(28)</vt:lpstr>
      <vt:lpstr>CF(29)</vt:lpstr>
      <vt:lpstr>CF(30)</vt:lpstr>
    </vt:vector>
  </TitlesOfParts>
  <Company>Highline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cp:lastPrinted>2013-11-27T01:47:15Z</cp:lastPrinted>
  <dcterms:created xsi:type="dcterms:W3CDTF">2013-11-25T23:59:46Z</dcterms:created>
  <dcterms:modified xsi:type="dcterms:W3CDTF">2021-05-03T07:25:15Z</dcterms:modified>
</cp:coreProperties>
</file>