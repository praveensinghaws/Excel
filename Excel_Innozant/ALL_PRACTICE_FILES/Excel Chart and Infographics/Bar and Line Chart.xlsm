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Excel Chart and Infographics\"/>
    </mc:Choice>
  </mc:AlternateContent>
  <xr:revisionPtr revIDLastSave="0" documentId="13_ncr:1_{9F2DBA0B-7994-4671-9E4F-DAE9AE76EC5D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Bar Chart" sheetId="3" r:id="rId1"/>
    <sheet name="Bar Chart 1" sheetId="23" r:id="rId2"/>
    <sheet name="Line" sheetId="25" r:id="rId3"/>
    <sheet name="Line (an)" sheetId="26" r:id="rId4"/>
    <sheet name="Line 1" sheetId="4" r:id="rId5"/>
    <sheet name="HW" sheetId="24" r:id="rId6"/>
  </sheets>
  <externalReferences>
    <externalReference r:id="rId7"/>
    <externalReference r:id="rId8"/>
  </externalReferences>
  <definedNames>
    <definedName name="ColA">OFFSET(#REF!,0,0,MATCH(#REF!,#REF!,0),1)</definedName>
    <definedName name="ColB">OFFSET(ColA,0,1)</definedName>
    <definedName name="ColC">OFFSET(ColA,0,2)</definedName>
    <definedName name="NameAN">[1]List2!$A$2:$A$19</definedName>
    <definedName name="_xlnm.Print_Area" localSheetId="3">'Line (an)'!$A$1:$J$17</definedName>
    <definedName name="Slopeb1">'[2]Formulas (2)'!$R$12</definedName>
    <definedName name="SSE">'[2]Formulas (2)'!$M$3</definedName>
    <definedName name="SSR">'[2]Formulas (2)'!$N$3</definedName>
    <definedName name="SST">'[2]Formulas (2)'!$I$3</definedName>
    <definedName name="Values">#REF!</definedName>
    <definedName name="WeeklyAdExpenseX">'[2]Formulas (2)'!$C$7:$C$196</definedName>
    <definedName name="WeeklySalesY">'[2]Formulas (2)'!$D$7:$D$196</definedName>
    <definedName name="Xbar">'[2]Formulas (2)'!$R$5</definedName>
    <definedName name="Ybar">'[2]Formulas (2)'!$R$6</definedName>
    <definedName name="YInterceptb0">'[2]Formulas (2)'!$R$13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23" l="1"/>
  <c r="E8" i="23" s="1"/>
  <c r="D7" i="23"/>
  <c r="E7" i="23" s="1"/>
  <c r="D6" i="23"/>
  <c r="E6" i="23" s="1"/>
  <c r="D5" i="23"/>
  <c r="E5" i="23" s="1"/>
  <c r="D4" i="23"/>
  <c r="E4" i="23" s="1"/>
  <c r="D3" i="23"/>
  <c r="E3" i="23" s="1"/>
  <c r="D2" i="23"/>
  <c r="E2" i="23" s="1"/>
  <c r="A3" i="4" l="1"/>
  <c r="A4" i="4" s="1"/>
  <c r="A5" i="4" s="1"/>
  <c r="A6" i="4" s="1"/>
  <c r="A7" i="4" s="1"/>
</calcChain>
</file>

<file path=xl/sharedStrings.xml><?xml version="1.0" encoding="utf-8"?>
<sst xmlns="http://schemas.openxmlformats.org/spreadsheetml/2006/main" count="33" uniqueCount="29">
  <si>
    <t>YEAR</t>
  </si>
  <si>
    <t>NORTH</t>
  </si>
  <si>
    <t>SOUTH</t>
  </si>
  <si>
    <t>2010</t>
  </si>
  <si>
    <t>2011</t>
  </si>
  <si>
    <t>2012</t>
  </si>
  <si>
    <t>2013</t>
  </si>
  <si>
    <t>2014</t>
  </si>
  <si>
    <t>Year</t>
  </si>
  <si>
    <t>Bears</t>
  </si>
  <si>
    <t>Dolphins</t>
  </si>
  <si>
    <t>Whales</t>
  </si>
  <si>
    <t>Sales</t>
  </si>
  <si>
    <t>ADULT</t>
  </si>
  <si>
    <t>JUVENILE</t>
  </si>
  <si>
    <t>Amit</t>
  </si>
  <si>
    <t>Anika</t>
  </si>
  <si>
    <t>Suman</t>
  </si>
  <si>
    <t>Engineer</t>
  </si>
  <si>
    <t>Resolve</t>
  </si>
  <si>
    <t>Pending</t>
  </si>
  <si>
    <t>Total Reqest</t>
  </si>
  <si>
    <t>Percentage</t>
  </si>
  <si>
    <t>Ahant</t>
  </si>
  <si>
    <t>Animesh</t>
  </si>
  <si>
    <t>Saurabh</t>
  </si>
  <si>
    <t>Ankur</t>
  </si>
  <si>
    <t>Line: Use to show trend for a number variable over a category such as time. "Time Series Chart"</t>
  </si>
  <si>
    <t>Create a chart that shows the trend over tine.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</si>
</sst>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6" formatCode="&quot;$&quot;#,##0_);[Red]\(&quot;$&quot;#,##0\)"/>
    <numFmt numFmtId="43" formatCode="_(* #,##0.00_);_(* \(#,##0.00\);_(* &quot;-&quot;??_);_(@_)"/>
    <numFmt numFmtId="164" formatCode="0_ ;\-0\ "/>
    <numFmt numFmtId="165" formatCode="[$$-1004]#,##0_ ;\-[$$-1004]#,##0\ "/>
    <numFmt numFmtId="166" formatCode="_-* #,##0.00_-;\-* #,##0.0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4" fillId="0" borderId="0"/>
    <xf numFmtId="166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12">
    <xf numFmtId="0" fontId="0" fillId="0" borderId="0" xfId="0"/>
    <xf numFmtId="0" fontId="2" fillId="0" borderId="1" xfId="0" applyFont="1" applyFill="1" applyBorder="1" applyAlignment="1">
      <alignment horizontal="center" vertical="center" wrapText="1"/>
    </xf>
    <xf numFmtId="164" fontId="2" fillId="0" borderId="1" xfId="1" applyNumberFormat="1" applyFont="1" applyFill="1" applyBorder="1" applyAlignment="1">
      <alignment horizontal="center" vertical="center" wrapText="1"/>
    </xf>
    <xf numFmtId="164" fontId="2" fillId="0" borderId="2" xfId="1" applyNumberFormat="1" applyFont="1" applyFill="1" applyBorder="1" applyAlignment="1">
      <alignment horizontal="center" vertical="center" wrapText="1"/>
    </xf>
    <xf numFmtId="0" fontId="3" fillId="0" borderId="3" xfId="0" quotePrefix="1" applyFont="1" applyFill="1" applyBorder="1" applyAlignment="1">
      <alignment horizontal="center"/>
    </xf>
    <xf numFmtId="165" fontId="3" fillId="0" borderId="3" xfId="1" applyNumberFormat="1" applyFont="1" applyFill="1" applyBorder="1" applyAlignment="1">
      <alignment horizontal="center"/>
    </xf>
    <xf numFmtId="0" fontId="0" fillId="0" borderId="0" xfId="0"/>
    <xf numFmtId="165" fontId="7" fillId="0" borderId="3" xfId="1" applyNumberFormat="1" applyFont="1" applyFill="1" applyBorder="1" applyAlignment="1">
      <alignment horizontal="center"/>
    </xf>
    <xf numFmtId="0" fontId="5" fillId="0" borderId="0" xfId="0" applyFont="1"/>
    <xf numFmtId="9" fontId="0" fillId="0" borderId="0" xfId="4" applyFont="1"/>
    <xf numFmtId="0" fontId="0" fillId="2" borderId="0" xfId="0" applyFill="1"/>
    <xf numFmtId="6" fontId="0" fillId="0" borderId="0" xfId="0" applyNumberFormat="1"/>
  </cellXfs>
  <cellStyles count="6">
    <cellStyle name="Comma" xfId="1" builtinId="3"/>
    <cellStyle name="Comma 2" xfId="3" xr:uid="{00000000-0005-0000-0000-000001000000}"/>
    <cellStyle name="Comma 3" xfId="5" xr:uid="{00000000-0005-0000-0000-000002000000}"/>
    <cellStyle name="Normal" xfId="0" builtinId="0"/>
    <cellStyle name="Normal 2" xfId="2" xr:uid="{00000000-0005-0000-0000-000004000000}"/>
    <cellStyle name="Percent" xfId="4" builtinId="5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5" formatCode="[$$-1004]#,##0_ ;\-[$$-1004]#,##0\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rgb="FFFFFFFF"/>
        </left>
        <right style="thin">
          <color rgb="FFFFFFFF"/>
        </right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5" formatCode="[$$-1004]#,##0_ ;\-[$$-1004]#,##0\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theme="0"/>
        </left>
        <right style="thin">
          <color theme="0"/>
        </right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solid">
          <fgColor theme="9" tint="0.79998168889431442"/>
          <bgColor theme="9" tint="0.79998168889431442"/>
        </patternFill>
      </fill>
    </dxf>
    <dxf>
      <fill>
        <patternFill patternType="solid">
          <fgColor theme="9" tint="0.79995117038483843"/>
          <bgColor rgb="FFF2F2F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rgb="FF339966"/>
        </patternFill>
      </fill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TableStyleMedium2" defaultPivotStyle="PivotStyleLight16">
    <tableStyle name="Excel_TipsTableStyle" pivot="0" count="7" xr9:uid="{00000000-0011-0000-FFFF-FFFF00000000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Clustered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'Bar Chart'!$B$1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'Bar Chart'!$A$2:$A$6</c:f>
              <c:strCach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'Bar Chart'!$B$2:$B$6</c:f>
              <c:numCache>
                <c:formatCode>[$$-1004]#,##0_ ;\-[$$-1004]#,##0\ </c:formatCode>
                <c:ptCount val="5"/>
                <c:pt idx="0">
                  <c:v>55502</c:v>
                </c:pt>
                <c:pt idx="1">
                  <c:v>85296</c:v>
                </c:pt>
                <c:pt idx="2">
                  <c:v>50492</c:v>
                </c:pt>
                <c:pt idx="3">
                  <c:v>79802</c:v>
                </c:pt>
                <c:pt idx="4">
                  <c:v>85142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4-48C3-933C-24E914A7DBF6}"/>
            </c:ext>
          </c:extLst>
        </c:ser>
        <c:ser>
          <c:idx val="1"/>
          <c:order val="1"/>
          <c:tx>
            <c:strRef>
              <c:f>'Bar Chart'!$C$1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'Bar Chart'!$A$2:$A$6</c:f>
              <c:strCach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'Bar Chart'!$C$2:$C$6</c:f>
              <c:numCache>
                <c:formatCode>[$$-1004]#,##0_ ;\-[$$-1004]#,##0\ </c:formatCode>
                <c:ptCount val="5"/>
                <c:pt idx="0">
                  <c:v>20641</c:v>
                </c:pt>
                <c:pt idx="1">
                  <c:v>42146</c:v>
                </c:pt>
                <c:pt idx="2">
                  <c:v>17552</c:v>
                </c:pt>
                <c:pt idx="3">
                  <c:v>54645</c:v>
                </c:pt>
                <c:pt idx="4">
                  <c:v>66458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44-48C3-933C-24E914A7D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48923544"/>
        <c:axId val="348923936"/>
      </c:barChart>
      <c:catAx>
        <c:axId val="3489235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923936"/>
        <c:crosses val="autoZero"/>
        <c:auto val="1"/>
        <c:lblAlgn val="ctr"/>
        <c:lblOffset val="100"/>
        <c:noMultiLvlLbl val="0"/>
      </c:catAx>
      <c:valAx>
        <c:axId val="348923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_ ;\-[$$-1004]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923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Stacked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'Bar Chart'!$B$1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'Bar Chart'!$A$2:$A$6</c:f>
              <c:strCach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'Bar Chart'!$B$2:$B$6</c:f>
              <c:numCache>
                <c:formatCode>[$$-1004]#,##0_ ;\-[$$-1004]#,##0\ </c:formatCode>
                <c:ptCount val="5"/>
                <c:pt idx="0">
                  <c:v>55502</c:v>
                </c:pt>
                <c:pt idx="1">
                  <c:v>85296</c:v>
                </c:pt>
                <c:pt idx="2">
                  <c:v>50492</c:v>
                </c:pt>
                <c:pt idx="3">
                  <c:v>79802</c:v>
                </c:pt>
                <c:pt idx="4">
                  <c:v>85142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C6-4E02-AEA7-62E1787FB789}"/>
            </c:ext>
          </c:extLst>
        </c:ser>
        <c:ser>
          <c:idx val="1"/>
          <c:order val="1"/>
          <c:tx>
            <c:strRef>
              <c:f>'Bar Chart'!$C$1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'Bar Chart'!$A$2:$A$6</c:f>
              <c:strCach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'Bar Chart'!$C$2:$C$6</c:f>
              <c:numCache>
                <c:formatCode>[$$-1004]#,##0_ ;\-[$$-1004]#,##0\ </c:formatCode>
                <c:ptCount val="5"/>
                <c:pt idx="0">
                  <c:v>20641</c:v>
                </c:pt>
                <c:pt idx="1">
                  <c:v>42146</c:v>
                </c:pt>
                <c:pt idx="2">
                  <c:v>17552</c:v>
                </c:pt>
                <c:pt idx="3">
                  <c:v>54645</c:v>
                </c:pt>
                <c:pt idx="4">
                  <c:v>66458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C6-4E02-AEA7-62E1787FB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8924328"/>
        <c:axId val="348924720"/>
      </c:barChart>
      <c:catAx>
        <c:axId val="348924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924720"/>
        <c:crosses val="autoZero"/>
        <c:auto val="1"/>
        <c:lblAlgn val="ctr"/>
        <c:lblOffset val="100"/>
        <c:noMultiLvlLbl val="0"/>
      </c:catAx>
      <c:valAx>
        <c:axId val="348924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_ ;\-[$$-1004]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924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'Bar Chart 1'!$B$1</c:f>
              <c:strCache>
                <c:ptCount val="1"/>
                <c:pt idx="0">
                  <c:v>Resolve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'Bar Chart 1'!$A$2:$A$8</c:f>
              <c:strCache>
                <c:ptCount val="7"/>
                <c:pt idx="0">
                  <c:v>Amit</c:v>
                </c:pt>
                <c:pt idx="1">
                  <c:v>Anika</c:v>
                </c:pt>
                <c:pt idx="2">
                  <c:v>Suman</c:v>
                </c:pt>
                <c:pt idx="3">
                  <c:v>Ahant</c:v>
                </c:pt>
                <c:pt idx="4">
                  <c:v>Animesh</c:v>
                </c:pt>
                <c:pt idx="5">
                  <c:v>Saurabh</c:v>
                </c:pt>
                <c:pt idx="6">
                  <c:v>Ankur</c:v>
                </c:pt>
              </c:strCache>
            </c:strRef>
          </c:cat>
          <c:val>
            <c:numRef>
              <c:f>'Bar Chart 1'!$B$2:$B$8</c:f>
              <c:numCache>
                <c:formatCode>General</c:formatCode>
                <c:ptCount val="7"/>
                <c:pt idx="0">
                  <c:v>44</c:v>
                </c:pt>
                <c:pt idx="1">
                  <c:v>22</c:v>
                </c:pt>
                <c:pt idx="2">
                  <c:v>33</c:v>
                </c:pt>
                <c:pt idx="3">
                  <c:v>44</c:v>
                </c:pt>
                <c:pt idx="4">
                  <c:v>55</c:v>
                </c:pt>
                <c:pt idx="5">
                  <c:v>66</c:v>
                </c:pt>
                <c:pt idx="6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1-4C1E-AA0E-FF29868A29EA}"/>
            </c:ext>
          </c:extLst>
        </c:ser>
        <c:ser>
          <c:idx val="1"/>
          <c:order val="1"/>
          <c:tx>
            <c:strRef>
              <c:f>'Bar Chart 1'!$C$1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'Bar Chart 1'!$A$2:$A$8</c:f>
              <c:strCache>
                <c:ptCount val="7"/>
                <c:pt idx="0">
                  <c:v>Amit</c:v>
                </c:pt>
                <c:pt idx="1">
                  <c:v>Anika</c:v>
                </c:pt>
                <c:pt idx="2">
                  <c:v>Suman</c:v>
                </c:pt>
                <c:pt idx="3">
                  <c:v>Ahant</c:v>
                </c:pt>
                <c:pt idx="4">
                  <c:v>Animesh</c:v>
                </c:pt>
                <c:pt idx="5">
                  <c:v>Saurabh</c:v>
                </c:pt>
                <c:pt idx="6">
                  <c:v>Ankur</c:v>
                </c:pt>
              </c:strCache>
            </c:strRef>
          </c:cat>
          <c:val>
            <c:numRef>
              <c:f>'Bar Chart 1'!$C$2:$C$8</c:f>
              <c:numCache>
                <c:formatCode>General</c:formatCode>
                <c:ptCount val="7"/>
                <c:pt idx="0">
                  <c:v>5</c:v>
                </c:pt>
                <c:pt idx="1">
                  <c:v>9</c:v>
                </c:pt>
                <c:pt idx="2">
                  <c:v>7</c:v>
                </c:pt>
                <c:pt idx="3">
                  <c:v>8</c:v>
                </c:pt>
                <c:pt idx="4">
                  <c:v>12</c:v>
                </c:pt>
                <c:pt idx="5">
                  <c:v>23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1-4C1E-AA0E-FF29868A2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61211872"/>
        <c:axId val="1461225600"/>
      </c:barChart>
      <c:catAx>
        <c:axId val="1461211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1225600"/>
        <c:crosses val="autoZero"/>
        <c:auto val="1"/>
        <c:lblAlgn val="ctr"/>
        <c:lblOffset val="100"/>
        <c:noMultiLvlLbl val="0"/>
      </c:catAx>
      <c:valAx>
        <c:axId val="14612256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61211872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(an)'!$B$3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'Line (an)'!$A$4:$A$12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'Line (an)'!$B$4:$B$12</c:f>
              <c:numCache>
                <c:formatCode>"$"#,##0_);[Red]\("$"#,##0\)</c:formatCode>
                <c:ptCount val="9"/>
                <c:pt idx="0">
                  <c:v>577023</c:v>
                </c:pt>
                <c:pt idx="1">
                  <c:v>566239</c:v>
                </c:pt>
                <c:pt idx="2">
                  <c:v>580987</c:v>
                </c:pt>
                <c:pt idx="3">
                  <c:v>603500</c:v>
                </c:pt>
                <c:pt idx="4">
                  <c:v>605821</c:v>
                </c:pt>
                <c:pt idx="5">
                  <c:v>669356</c:v>
                </c:pt>
                <c:pt idx="6">
                  <c:v>664569</c:v>
                </c:pt>
                <c:pt idx="7">
                  <c:v>717832</c:v>
                </c:pt>
                <c:pt idx="8">
                  <c:v>700144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C1-4BF3-B425-72C3A3348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330032"/>
        <c:axId val="165340368"/>
      </c:lineChart>
      <c:catAx>
        <c:axId val="16533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40368"/>
        <c:crosses val="autoZero"/>
        <c:auto val="1"/>
        <c:lblAlgn val="ctr"/>
        <c:lblOffset val="100"/>
        <c:noMultiLvlLbl val="0"/>
      </c:catAx>
      <c:valAx>
        <c:axId val="165340368"/>
        <c:scaling>
          <c:orientation val="minMax"/>
          <c:min val="500000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crossAx val="16533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'Line 1'!$B$1</c:f>
              <c:strCache>
                <c:ptCount val="1"/>
                <c:pt idx="0">
                  <c:v>Bears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'Line 1'!$A$2:$A$7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'Line 1'!$B$2:$B$7</c:f>
              <c:numCache>
                <c:formatCode>General</c:formatCode>
                <c:ptCount val="6"/>
                <c:pt idx="0">
                  <c:v>8</c:v>
                </c:pt>
                <c:pt idx="1">
                  <c:v>54</c:v>
                </c:pt>
                <c:pt idx="2">
                  <c:v>93</c:v>
                </c:pt>
                <c:pt idx="3">
                  <c:v>116</c:v>
                </c:pt>
                <c:pt idx="4">
                  <c:v>137</c:v>
                </c:pt>
                <c:pt idx="5">
                  <c:v>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CE-4A28-AD1D-7D4FFD8AA00B}"/>
            </c:ext>
          </c:extLst>
        </c:ser>
        <c:ser>
          <c:idx val="2"/>
          <c:order val="1"/>
          <c:tx>
            <c:strRef>
              <c:f>'Line 1'!$C$1</c:f>
              <c:strCache>
                <c:ptCount val="1"/>
                <c:pt idx="0">
                  <c:v>Dolphins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'Line 1'!$A$2:$A$7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'Line 1'!$C$2:$C$7</c:f>
              <c:numCache>
                <c:formatCode>General</c:formatCode>
                <c:ptCount val="6"/>
                <c:pt idx="0">
                  <c:v>150</c:v>
                </c:pt>
                <c:pt idx="1">
                  <c:v>77</c:v>
                </c:pt>
                <c:pt idx="2">
                  <c:v>32</c:v>
                </c:pt>
                <c:pt idx="3">
                  <c:v>11</c:v>
                </c:pt>
                <c:pt idx="4">
                  <c:v>6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CE-4A28-AD1D-7D4FFD8AA00B}"/>
            </c:ext>
          </c:extLst>
        </c:ser>
        <c:ser>
          <c:idx val="3"/>
          <c:order val="2"/>
          <c:tx>
            <c:strRef>
              <c:f>'Line 1'!$D$1</c:f>
              <c:strCache>
                <c:ptCount val="1"/>
                <c:pt idx="0">
                  <c:v>Whales</c:v>
                </c:pt>
              </c:strCache>
            </c:strRef>
          </c:tx>
          <c:spPr>
            <a:ln w="476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gradFill flip="none" rotWithShape="1">
                <a:gsLst>
                  <a:gs pos="0">
                    <a:schemeClr val="accent2">
                      <a:lumMod val="67000"/>
                    </a:schemeClr>
                  </a:gs>
                  <a:gs pos="48000">
                    <a:schemeClr val="accent2">
                      <a:lumMod val="97000"/>
                      <a:lumOff val="3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'Line 1'!$A$2:$A$7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'Line 1'!$D$2:$D$7</c:f>
              <c:numCache>
                <c:formatCode>General</c:formatCode>
                <c:ptCount val="6"/>
                <c:pt idx="0">
                  <c:v>80</c:v>
                </c:pt>
                <c:pt idx="1">
                  <c:v>54</c:v>
                </c:pt>
                <c:pt idx="2">
                  <c:v>100</c:v>
                </c:pt>
                <c:pt idx="3">
                  <c:v>76</c:v>
                </c:pt>
                <c:pt idx="4">
                  <c:v>93</c:v>
                </c:pt>
                <c:pt idx="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CE-4A28-AD1D-7D4FFD8AA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1167120"/>
        <c:axId val="351170648"/>
      </c:lineChart>
      <c:catAx>
        <c:axId val="3511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170648"/>
        <c:crosses val="autoZero"/>
        <c:auto val="1"/>
        <c:lblAlgn val="ctr"/>
        <c:lblOffset val="100"/>
        <c:noMultiLvlLbl val="0"/>
      </c:catAx>
      <c:valAx>
        <c:axId val="351170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16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490537</xdr:colOff>
      <xdr:row>0</xdr:row>
      <xdr:rowOff>200024</xdr:rowOff>
    </xdr:from>
    <xdr:to>
      <xdr:col>10</xdr:col>
      <xdr:colOff>285750</xdr:colOff>
      <xdr:row>12</xdr:row>
      <xdr:rowOff>176211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DE4114-A40B-468C-B66F-022918CA9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342900</xdr:colOff>
      <xdr:row>1</xdr:row>
      <xdr:rowOff>14287</xdr:rowOff>
    </xdr:from>
    <xdr:to>
      <xdr:col>16</xdr:col>
      <xdr:colOff>214312</xdr:colOff>
      <xdr:row>13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A295B0-CBDC-48E8-BA89-C1FFE64ABB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156210</xdr:rowOff>
    </xdr:from>
    <xdr:to>
      <xdr:col>13</xdr:col>
      <xdr:colOff>304800</xdr:colOff>
      <xdr:row>15</xdr:row>
      <xdr:rowOff>156210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252412</xdr:colOff>
      <xdr:row>1</xdr:row>
      <xdr:rowOff>147637</xdr:rowOff>
    </xdr:from>
    <xdr:to>
      <xdr:col>9</xdr:col>
      <xdr:colOff>1066800</xdr:colOff>
      <xdr:row>16</xdr:row>
      <xdr:rowOff>33337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E2CAE8-6237-4391-875D-8BA8D1E56A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585787</xdr:colOff>
      <xdr:row>0</xdr:row>
      <xdr:rowOff>57150</xdr:rowOff>
    </xdr:from>
    <xdr:to>
      <xdr:col>12</xdr:col>
      <xdr:colOff>161925</xdr:colOff>
      <xdr:row>13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048EB3-3392-4EF5-B12F-FF5E9F144E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601980</xdr:colOff>
      <xdr:row>0</xdr:row>
      <xdr:rowOff>373380</xdr:rowOff>
    </xdr:from>
    <xdr:to>
      <xdr:col>15</xdr:col>
      <xdr:colOff>129540</xdr:colOff>
      <xdr:row>10</xdr:row>
      <xdr:rowOff>53340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5580" y="373380"/>
          <a:ext cx="6842760" cy="1836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girvin/Desktop/EMT740-75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girvin/Desktop/BI348-Chapter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(740)"/>
      <sheetName val="(740an)"/>
      <sheetName val="(741)"/>
      <sheetName val="(741an)"/>
      <sheetName val="(742)"/>
      <sheetName val="(742an)"/>
      <sheetName val="(743)"/>
      <sheetName val="(743an)"/>
      <sheetName val="List2"/>
      <sheetName val="(744)"/>
      <sheetName val="(744an)"/>
      <sheetName val="(745)"/>
      <sheetName val="(745an)"/>
      <sheetName val="(746)"/>
      <sheetName val="(746an)"/>
      <sheetName val="(747)"/>
      <sheetName val="(747an)"/>
      <sheetName val="(748)"/>
      <sheetName val="(748an)"/>
      <sheetName val="(749)"/>
      <sheetName val="(749an)"/>
      <sheetName val="(750)"/>
      <sheetName val="(750an)"/>
      <sheetName val="(751)"/>
      <sheetName val="(752)"/>
      <sheetName val="(752an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2" t="str">
            <v>Name 1</v>
          </cell>
        </row>
        <row r="3">
          <cell r="A3" t="str">
            <v>Name 2</v>
          </cell>
        </row>
        <row r="4">
          <cell r="A4" t="str">
            <v>Name 3</v>
          </cell>
        </row>
        <row r="5">
          <cell r="A5" t="str">
            <v>Name 4</v>
          </cell>
        </row>
        <row r="6">
          <cell r="A6" t="str">
            <v>Name 5</v>
          </cell>
        </row>
        <row r="7">
          <cell r="A7" t="str">
            <v>Name 6</v>
          </cell>
        </row>
        <row r="8">
          <cell r="A8" t="str">
            <v>Name 7</v>
          </cell>
        </row>
        <row r="9">
          <cell r="A9" t="str">
            <v>Name 8</v>
          </cell>
        </row>
        <row r="10">
          <cell r="A10" t="str">
            <v>Name 9</v>
          </cell>
        </row>
        <row r="11">
          <cell r="A11" t="str">
            <v>Name 10</v>
          </cell>
        </row>
        <row r="12">
          <cell r="A12" t="str">
            <v>Name 11</v>
          </cell>
        </row>
        <row r="13">
          <cell r="A13" t="str">
            <v>Name 12</v>
          </cell>
        </row>
        <row r="14">
          <cell r="A14" t="str">
            <v>Name 13</v>
          </cell>
        </row>
        <row r="15">
          <cell r="A15" t="str">
            <v>Name 14</v>
          </cell>
        </row>
        <row r="16">
          <cell r="A16" t="str">
            <v>Name 15</v>
          </cell>
        </row>
        <row r="17">
          <cell r="A17" t="str">
            <v>Name 16</v>
          </cell>
        </row>
        <row r="18">
          <cell r="A18" t="str">
            <v>Name 17</v>
          </cell>
        </row>
        <row r="19">
          <cell r="A19" t="str">
            <v>Name 46</v>
          </cell>
        </row>
      </sheetData>
      <sheetData sheetId="9"/>
      <sheetData sheetId="10">
        <row r="5">
          <cell r="A5" t="str">
            <v>Units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atter (1)"/>
      <sheetName val="Scatter (1an)"/>
      <sheetName val="Scatter (2)"/>
      <sheetName val="Scatter (2an)"/>
      <sheetName val="Scatter (3)"/>
      <sheetName val="Ybar &amp; Xbar Lines"/>
      <sheetName val="Ybar &amp; Xbar Lines (an)"/>
      <sheetName val="Cov &amp; Corr (1)"/>
      <sheetName val="Cov &amp; Corr (1an)"/>
      <sheetName val="Cov &amp; Corr (2)"/>
      <sheetName val="Cov &amp; Corr (2an)"/>
      <sheetName val="Cov &amp; Corr (3)"/>
      <sheetName val="Slope &amp; Int (1)"/>
      <sheetName val="Slope &amp; Int (an)"/>
      <sheetName val="E.R."/>
      <sheetName val="E.R. (2)"/>
      <sheetName val="E.R. (2an)"/>
      <sheetName val="Better Model"/>
      <sheetName val="Predicted &amp; Residuals"/>
      <sheetName val="AllOnLine"/>
      <sheetName val="Errors"/>
      <sheetName val="Ybar"/>
      <sheetName val="2 Parts"/>
      <sheetName val="3 Parts"/>
      <sheetName val="Zero"/>
      <sheetName val="Chart"/>
      <sheetName val="Think"/>
      <sheetName val="r^2 and s (1)"/>
      <sheetName val="r^2 and s (1an)"/>
      <sheetName val="r^2 and s (2)"/>
      <sheetName val="r^2 and s (2an)"/>
      <sheetName val="DA Reg (1)"/>
      <sheetName val="DA Reg (1an)"/>
      <sheetName val="LINEST"/>
      <sheetName val="LINEST (an)"/>
      <sheetName val="DA Reg (3)"/>
      <sheetName val="M R (1)"/>
      <sheetName val="M R (1an)"/>
      <sheetName val="Categorical"/>
      <sheetName val="Categorical (an)"/>
      <sheetName val="Residual Plots"/>
      <sheetName val="Hypothesis Test"/>
      <sheetName val="Hypothesis Test (an)"/>
      <sheetName val="Formulas (2)"/>
      <sheetName val="HT (2)"/>
      <sheetName val="HT (2an)"/>
      <sheetName val="Formulas (1)"/>
      <sheetName val="Formulas (1an)"/>
      <sheetName val="Run Multiple Tests"/>
    </sheetNames>
    <sheetDataSet>
      <sheetData sheetId="0"/>
      <sheetData sheetId="1">
        <row r="1">
          <cell r="B1" t="str">
            <v>Weekly $ Ad Expense (x)</v>
          </cell>
        </row>
      </sheetData>
      <sheetData sheetId="2"/>
      <sheetData sheetId="3">
        <row r="1">
          <cell r="A1" t="str">
            <v>For Entry Level BMX Race Bikes, Is there a Relationship between Price and Weight of Bike?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>
        <row r="3">
          <cell r="I3">
            <v>3269387200138.7446</v>
          </cell>
          <cell r="M3">
            <v>516674372690.31818</v>
          </cell>
          <cell r="N3">
            <v>2752712827448.4297</v>
          </cell>
        </row>
        <row r="5">
          <cell r="R5">
            <v>40429.526315789473</v>
          </cell>
        </row>
        <row r="6">
          <cell r="R6">
            <v>370058.95063157915</v>
          </cell>
        </row>
        <row r="7">
          <cell r="C7">
            <v>63566</v>
          </cell>
          <cell r="D7">
            <v>651334.36</v>
          </cell>
        </row>
        <row r="8">
          <cell r="C8">
            <v>50762</v>
          </cell>
          <cell r="D8">
            <v>527670.41999999993</v>
          </cell>
        </row>
        <row r="9">
          <cell r="C9">
            <v>50941</v>
          </cell>
          <cell r="D9">
            <v>523751.3</v>
          </cell>
        </row>
        <row r="10">
          <cell r="C10">
            <v>17597</v>
          </cell>
          <cell r="D10">
            <v>175466.61</v>
          </cell>
        </row>
        <row r="11">
          <cell r="C11">
            <v>33029</v>
          </cell>
          <cell r="D11">
            <v>377977.97</v>
          </cell>
        </row>
        <row r="12">
          <cell r="C12">
            <v>58543</v>
          </cell>
          <cell r="D12">
            <v>520100.29</v>
          </cell>
          <cell r="R12">
            <v>8.2415488162968682</v>
          </cell>
        </row>
        <row r="13">
          <cell r="C13">
            <v>60492</v>
          </cell>
          <cell r="D13">
            <v>620856.28</v>
          </cell>
          <cell r="R13">
            <v>36857.03588024131</v>
          </cell>
        </row>
        <row r="14">
          <cell r="C14">
            <v>59686</v>
          </cell>
          <cell r="D14">
            <v>593739.46</v>
          </cell>
        </row>
        <row r="15">
          <cell r="C15">
            <v>16432</v>
          </cell>
          <cell r="D15">
            <v>181948.96</v>
          </cell>
        </row>
        <row r="16">
          <cell r="C16">
            <v>17262</v>
          </cell>
          <cell r="D16">
            <v>184643.6</v>
          </cell>
        </row>
        <row r="17">
          <cell r="C17">
            <v>39118</v>
          </cell>
          <cell r="D17">
            <v>379373.56</v>
          </cell>
        </row>
        <row r="18">
          <cell r="C18">
            <v>36078</v>
          </cell>
          <cell r="D18">
            <v>238687.94</v>
          </cell>
        </row>
        <row r="19">
          <cell r="C19">
            <v>42113</v>
          </cell>
          <cell r="D19">
            <v>410066.15</v>
          </cell>
        </row>
        <row r="20">
          <cell r="C20">
            <v>50562</v>
          </cell>
          <cell r="D20">
            <v>413540.78</v>
          </cell>
        </row>
        <row r="21">
          <cell r="C21">
            <v>38240</v>
          </cell>
          <cell r="D21">
            <v>340241.6</v>
          </cell>
        </row>
        <row r="22">
          <cell r="C22">
            <v>59870</v>
          </cell>
          <cell r="D22">
            <v>582843</v>
          </cell>
        </row>
        <row r="23">
          <cell r="C23">
            <v>46056</v>
          </cell>
          <cell r="D23">
            <v>433185.92</v>
          </cell>
        </row>
        <row r="24">
          <cell r="C24">
            <v>33349</v>
          </cell>
          <cell r="D24">
            <v>270770.38</v>
          </cell>
        </row>
        <row r="25">
          <cell r="C25">
            <v>16207</v>
          </cell>
          <cell r="D25">
            <v>164421.41999999998</v>
          </cell>
        </row>
        <row r="26">
          <cell r="C26">
            <v>57077</v>
          </cell>
          <cell r="D26">
            <v>478077.5</v>
          </cell>
        </row>
        <row r="27">
          <cell r="C27">
            <v>30893</v>
          </cell>
          <cell r="D27">
            <v>393839.09</v>
          </cell>
        </row>
        <row r="28">
          <cell r="C28">
            <v>54153</v>
          </cell>
          <cell r="D28">
            <v>430154.06</v>
          </cell>
        </row>
        <row r="29">
          <cell r="C29">
            <v>14591</v>
          </cell>
          <cell r="D29">
            <v>210792.82</v>
          </cell>
        </row>
        <row r="30">
          <cell r="C30">
            <v>50138</v>
          </cell>
          <cell r="D30">
            <v>343808.68</v>
          </cell>
        </row>
        <row r="31">
          <cell r="C31">
            <v>55253</v>
          </cell>
          <cell r="D31">
            <v>565510.49</v>
          </cell>
        </row>
        <row r="32">
          <cell r="C32">
            <v>34944</v>
          </cell>
          <cell r="D32">
            <v>330250.88</v>
          </cell>
        </row>
        <row r="33">
          <cell r="C33">
            <v>26413</v>
          </cell>
          <cell r="D33">
            <v>295905.03000000003</v>
          </cell>
        </row>
        <row r="34">
          <cell r="C34">
            <v>54660</v>
          </cell>
          <cell r="D34">
            <v>562164.19999999995</v>
          </cell>
        </row>
        <row r="35">
          <cell r="C35">
            <v>35887</v>
          </cell>
          <cell r="D35">
            <v>257067.99</v>
          </cell>
        </row>
        <row r="36">
          <cell r="C36">
            <v>42021</v>
          </cell>
          <cell r="D36">
            <v>384066.95</v>
          </cell>
        </row>
        <row r="37">
          <cell r="C37">
            <v>47349</v>
          </cell>
          <cell r="D37">
            <v>441576.23</v>
          </cell>
        </row>
        <row r="38">
          <cell r="C38">
            <v>24364</v>
          </cell>
          <cell r="D38">
            <v>252221.2</v>
          </cell>
        </row>
        <row r="39">
          <cell r="C39">
            <v>58406</v>
          </cell>
          <cell r="D39">
            <v>552875.65999999992</v>
          </cell>
        </row>
        <row r="40">
          <cell r="C40">
            <v>51643</v>
          </cell>
          <cell r="D40">
            <v>446101.81</v>
          </cell>
        </row>
        <row r="41">
          <cell r="C41">
            <v>55115</v>
          </cell>
          <cell r="D41">
            <v>476038.95</v>
          </cell>
        </row>
        <row r="42">
          <cell r="C42">
            <v>35416</v>
          </cell>
          <cell r="D42">
            <v>393889.36</v>
          </cell>
        </row>
        <row r="43">
          <cell r="C43">
            <v>37274</v>
          </cell>
          <cell r="D43">
            <v>328436.78000000003</v>
          </cell>
        </row>
        <row r="44">
          <cell r="C44">
            <v>36148</v>
          </cell>
          <cell r="D44">
            <v>408949.64</v>
          </cell>
        </row>
        <row r="45">
          <cell r="C45">
            <v>32192</v>
          </cell>
          <cell r="D45">
            <v>394776.32000000001</v>
          </cell>
        </row>
        <row r="46">
          <cell r="C46">
            <v>51238</v>
          </cell>
          <cell r="D46">
            <v>455804.96</v>
          </cell>
        </row>
        <row r="47">
          <cell r="C47">
            <v>59235</v>
          </cell>
          <cell r="D47">
            <v>526249.4</v>
          </cell>
        </row>
        <row r="48">
          <cell r="C48">
            <v>59329</v>
          </cell>
          <cell r="D48">
            <v>562602.56000000006</v>
          </cell>
        </row>
        <row r="49">
          <cell r="C49">
            <v>22739</v>
          </cell>
          <cell r="D49">
            <v>180749.25</v>
          </cell>
        </row>
        <row r="50">
          <cell r="C50">
            <v>28654</v>
          </cell>
          <cell r="D50">
            <v>275506.98</v>
          </cell>
        </row>
        <row r="51">
          <cell r="C51">
            <v>36786</v>
          </cell>
          <cell r="D51">
            <v>372981.08</v>
          </cell>
        </row>
        <row r="52">
          <cell r="C52">
            <v>20813</v>
          </cell>
          <cell r="D52">
            <v>216087.74</v>
          </cell>
        </row>
        <row r="53">
          <cell r="C53">
            <v>57259</v>
          </cell>
          <cell r="D53">
            <v>470281.06</v>
          </cell>
        </row>
        <row r="54">
          <cell r="C54">
            <v>57707</v>
          </cell>
          <cell r="D54">
            <v>481071.29</v>
          </cell>
        </row>
        <row r="55">
          <cell r="C55">
            <v>61539</v>
          </cell>
          <cell r="D55">
            <v>612466.46</v>
          </cell>
        </row>
        <row r="56">
          <cell r="C56">
            <v>36635</v>
          </cell>
          <cell r="D56">
            <v>370922.6</v>
          </cell>
        </row>
        <row r="57">
          <cell r="C57">
            <v>39086</v>
          </cell>
          <cell r="D57">
            <v>448677.2</v>
          </cell>
        </row>
        <row r="58">
          <cell r="C58">
            <v>33062</v>
          </cell>
          <cell r="D58">
            <v>259282.46</v>
          </cell>
        </row>
        <row r="59">
          <cell r="C59">
            <v>42144</v>
          </cell>
          <cell r="D59">
            <v>354279.67999999999</v>
          </cell>
        </row>
        <row r="60">
          <cell r="C60">
            <v>18828</v>
          </cell>
          <cell r="D60">
            <v>185749.88</v>
          </cell>
        </row>
        <row r="61">
          <cell r="C61">
            <v>57070</v>
          </cell>
          <cell r="D61">
            <v>415818.7</v>
          </cell>
        </row>
        <row r="62">
          <cell r="C62">
            <v>27991</v>
          </cell>
          <cell r="D62">
            <v>252095.02</v>
          </cell>
        </row>
        <row r="63">
          <cell r="C63">
            <v>37876</v>
          </cell>
          <cell r="D63">
            <v>329524.88</v>
          </cell>
        </row>
        <row r="64">
          <cell r="C64">
            <v>16134</v>
          </cell>
          <cell r="D64">
            <v>233120.9</v>
          </cell>
        </row>
        <row r="65">
          <cell r="C65">
            <v>55466</v>
          </cell>
          <cell r="D65">
            <v>376140.08</v>
          </cell>
        </row>
        <row r="66">
          <cell r="C66">
            <v>26100</v>
          </cell>
          <cell r="D66">
            <v>208166</v>
          </cell>
        </row>
        <row r="67">
          <cell r="C67">
            <v>23787</v>
          </cell>
          <cell r="D67">
            <v>226261.67</v>
          </cell>
        </row>
        <row r="68">
          <cell r="C68">
            <v>30895</v>
          </cell>
          <cell r="D68">
            <v>249581.7</v>
          </cell>
        </row>
        <row r="69">
          <cell r="C69">
            <v>31845</v>
          </cell>
          <cell r="D69">
            <v>278010.2</v>
          </cell>
        </row>
        <row r="70">
          <cell r="C70">
            <v>50618</v>
          </cell>
          <cell r="D70">
            <v>537451.34000000008</v>
          </cell>
        </row>
        <row r="71">
          <cell r="C71">
            <v>62293</v>
          </cell>
          <cell r="D71">
            <v>448052.27</v>
          </cell>
        </row>
        <row r="72">
          <cell r="C72">
            <v>61228</v>
          </cell>
          <cell r="D72">
            <v>519618.76</v>
          </cell>
        </row>
        <row r="73">
          <cell r="C73">
            <v>32558</v>
          </cell>
          <cell r="D73">
            <v>364510.28</v>
          </cell>
        </row>
        <row r="74">
          <cell r="C74">
            <v>40694</v>
          </cell>
          <cell r="D74">
            <v>351135.6</v>
          </cell>
        </row>
        <row r="75">
          <cell r="C75">
            <v>46333</v>
          </cell>
          <cell r="D75">
            <v>390547.55</v>
          </cell>
        </row>
        <row r="76">
          <cell r="C76">
            <v>28415</v>
          </cell>
          <cell r="D76">
            <v>234129.2</v>
          </cell>
        </row>
        <row r="77">
          <cell r="C77">
            <v>19993</v>
          </cell>
          <cell r="D77">
            <v>224538.89</v>
          </cell>
        </row>
        <row r="78">
          <cell r="C78">
            <v>34414</v>
          </cell>
          <cell r="D78">
            <v>248912.92</v>
          </cell>
        </row>
        <row r="79">
          <cell r="C79">
            <v>52078</v>
          </cell>
          <cell r="D79">
            <v>328096.52</v>
          </cell>
        </row>
        <row r="80">
          <cell r="C80">
            <v>24507</v>
          </cell>
          <cell r="D80">
            <v>262965.82999999996</v>
          </cell>
        </row>
        <row r="81">
          <cell r="C81">
            <v>28516</v>
          </cell>
          <cell r="D81">
            <v>334304.52</v>
          </cell>
        </row>
        <row r="82">
          <cell r="C82">
            <v>17554</v>
          </cell>
          <cell r="D82">
            <v>216060.84</v>
          </cell>
        </row>
        <row r="83">
          <cell r="C83">
            <v>16662</v>
          </cell>
          <cell r="D83">
            <v>183462.62</v>
          </cell>
        </row>
        <row r="84">
          <cell r="C84">
            <v>57162</v>
          </cell>
          <cell r="D84">
            <v>517013.54</v>
          </cell>
        </row>
        <row r="85">
          <cell r="C85">
            <v>57297</v>
          </cell>
          <cell r="D85">
            <v>731834.3</v>
          </cell>
        </row>
        <row r="86">
          <cell r="C86">
            <v>64112</v>
          </cell>
          <cell r="D86">
            <v>439159.84</v>
          </cell>
        </row>
        <row r="87">
          <cell r="C87">
            <v>37237</v>
          </cell>
          <cell r="D87">
            <v>453649.08</v>
          </cell>
        </row>
        <row r="88">
          <cell r="C88">
            <v>55058</v>
          </cell>
          <cell r="D88">
            <v>495969.8</v>
          </cell>
        </row>
        <row r="89">
          <cell r="C89">
            <v>30791</v>
          </cell>
          <cell r="D89">
            <v>306489.03000000003</v>
          </cell>
        </row>
        <row r="90">
          <cell r="C90">
            <v>19784</v>
          </cell>
          <cell r="D90">
            <v>226868.96</v>
          </cell>
        </row>
        <row r="91">
          <cell r="C91">
            <v>32463</v>
          </cell>
          <cell r="D91">
            <v>316845.86</v>
          </cell>
        </row>
        <row r="92">
          <cell r="C92">
            <v>59364</v>
          </cell>
          <cell r="D92">
            <v>496417.28000000003</v>
          </cell>
        </row>
        <row r="93">
          <cell r="C93">
            <v>64632</v>
          </cell>
          <cell r="D93">
            <v>527881.68000000005</v>
          </cell>
        </row>
        <row r="94">
          <cell r="C94">
            <v>58106</v>
          </cell>
          <cell r="D94">
            <v>535766.15999999992</v>
          </cell>
        </row>
        <row r="95">
          <cell r="C95">
            <v>60333</v>
          </cell>
          <cell r="D95">
            <v>469314.35</v>
          </cell>
        </row>
        <row r="96">
          <cell r="C96">
            <v>58353</v>
          </cell>
          <cell r="D96">
            <v>558254.63</v>
          </cell>
        </row>
        <row r="97">
          <cell r="C97">
            <v>22672</v>
          </cell>
          <cell r="D97">
            <v>197141.28</v>
          </cell>
        </row>
        <row r="98">
          <cell r="C98">
            <v>64325</v>
          </cell>
          <cell r="D98">
            <v>563313.5</v>
          </cell>
        </row>
        <row r="99">
          <cell r="C99">
            <v>32326</v>
          </cell>
          <cell r="D99">
            <v>365825.02</v>
          </cell>
        </row>
        <row r="100">
          <cell r="C100">
            <v>16138</v>
          </cell>
          <cell r="D100">
            <v>206538.6</v>
          </cell>
        </row>
        <row r="101">
          <cell r="C101">
            <v>34957</v>
          </cell>
          <cell r="D101">
            <v>320916.75</v>
          </cell>
        </row>
        <row r="102">
          <cell r="C102">
            <v>26159</v>
          </cell>
          <cell r="D102">
            <v>294325.06</v>
          </cell>
        </row>
        <row r="103">
          <cell r="C103">
            <v>42098</v>
          </cell>
          <cell r="D103">
            <v>329951.7</v>
          </cell>
        </row>
        <row r="104">
          <cell r="C104">
            <v>20582</v>
          </cell>
          <cell r="D104">
            <v>161277.70000000001</v>
          </cell>
        </row>
        <row r="105">
          <cell r="C105">
            <v>45614</v>
          </cell>
          <cell r="D105">
            <v>428140.06</v>
          </cell>
        </row>
        <row r="106">
          <cell r="C106">
            <v>42729</v>
          </cell>
          <cell r="D106">
            <v>433279.13</v>
          </cell>
        </row>
        <row r="107">
          <cell r="C107">
            <v>40053</v>
          </cell>
          <cell r="D107">
            <v>346792.73</v>
          </cell>
        </row>
        <row r="108">
          <cell r="C108">
            <v>51749</v>
          </cell>
          <cell r="D108">
            <v>540063.03</v>
          </cell>
        </row>
        <row r="109">
          <cell r="C109">
            <v>59753</v>
          </cell>
          <cell r="D109">
            <v>588972.06000000006</v>
          </cell>
        </row>
        <row r="110">
          <cell r="C110">
            <v>34045</v>
          </cell>
          <cell r="D110">
            <v>290698.15000000002</v>
          </cell>
        </row>
        <row r="111">
          <cell r="C111">
            <v>56384</v>
          </cell>
          <cell r="D111">
            <v>544487.67999999993</v>
          </cell>
        </row>
        <row r="112">
          <cell r="C112">
            <v>33242</v>
          </cell>
          <cell r="D112">
            <v>206569.82</v>
          </cell>
        </row>
        <row r="113">
          <cell r="C113">
            <v>49060</v>
          </cell>
          <cell r="D113">
            <v>550902.6</v>
          </cell>
        </row>
        <row r="114">
          <cell r="C114">
            <v>38219</v>
          </cell>
          <cell r="D114">
            <v>321737.09000000003</v>
          </cell>
        </row>
        <row r="115">
          <cell r="C115">
            <v>56891</v>
          </cell>
          <cell r="D115">
            <v>568845.91999999993</v>
          </cell>
        </row>
        <row r="116">
          <cell r="C116">
            <v>52906</v>
          </cell>
          <cell r="D116">
            <v>426690.72</v>
          </cell>
        </row>
        <row r="117">
          <cell r="C117">
            <v>44835</v>
          </cell>
          <cell r="D117">
            <v>430649.15</v>
          </cell>
        </row>
        <row r="118">
          <cell r="C118">
            <v>45028</v>
          </cell>
          <cell r="D118">
            <v>400768.12</v>
          </cell>
        </row>
        <row r="119">
          <cell r="C119">
            <v>15988</v>
          </cell>
          <cell r="D119">
            <v>175665.68</v>
          </cell>
        </row>
        <row r="120">
          <cell r="C120">
            <v>64717</v>
          </cell>
          <cell r="D120">
            <v>558028.44999999995</v>
          </cell>
        </row>
        <row r="121">
          <cell r="C121">
            <v>15196</v>
          </cell>
          <cell r="D121">
            <v>163514.12</v>
          </cell>
        </row>
        <row r="122">
          <cell r="C122">
            <v>45093</v>
          </cell>
          <cell r="D122">
            <v>398568.89</v>
          </cell>
        </row>
        <row r="123">
          <cell r="C123">
            <v>51099</v>
          </cell>
          <cell r="D123">
            <v>483830.51</v>
          </cell>
        </row>
        <row r="124">
          <cell r="C124">
            <v>40839</v>
          </cell>
          <cell r="D124">
            <v>292958.71999999997</v>
          </cell>
        </row>
        <row r="125">
          <cell r="C125">
            <v>29773</v>
          </cell>
          <cell r="D125">
            <v>275083.88</v>
          </cell>
        </row>
        <row r="126">
          <cell r="C126">
            <v>60954</v>
          </cell>
          <cell r="D126">
            <v>599805.07999999996</v>
          </cell>
        </row>
        <row r="127">
          <cell r="C127">
            <v>53820</v>
          </cell>
          <cell r="D127">
            <v>524692.4</v>
          </cell>
        </row>
        <row r="128">
          <cell r="C128">
            <v>19365</v>
          </cell>
          <cell r="D128">
            <v>196012.1</v>
          </cell>
        </row>
        <row r="129">
          <cell r="C129">
            <v>39109</v>
          </cell>
          <cell r="D129">
            <v>360134.37</v>
          </cell>
        </row>
        <row r="130">
          <cell r="C130">
            <v>40439</v>
          </cell>
          <cell r="D130">
            <v>312044.71999999997</v>
          </cell>
        </row>
        <row r="131">
          <cell r="C131">
            <v>35117</v>
          </cell>
          <cell r="D131">
            <v>268076.57</v>
          </cell>
        </row>
        <row r="132">
          <cell r="C132">
            <v>50624</v>
          </cell>
          <cell r="D132">
            <v>394243.2</v>
          </cell>
        </row>
        <row r="133">
          <cell r="C133">
            <v>55174</v>
          </cell>
          <cell r="D133">
            <v>474839.8</v>
          </cell>
        </row>
        <row r="134">
          <cell r="C134">
            <v>52278</v>
          </cell>
          <cell r="D134">
            <v>474497.36</v>
          </cell>
        </row>
        <row r="135">
          <cell r="C135">
            <v>30557</v>
          </cell>
          <cell r="D135">
            <v>301178.54000000004</v>
          </cell>
        </row>
        <row r="136">
          <cell r="C136">
            <v>62145</v>
          </cell>
          <cell r="D136">
            <v>642241.85</v>
          </cell>
        </row>
        <row r="137">
          <cell r="C137">
            <v>58106</v>
          </cell>
          <cell r="D137">
            <v>475335.92</v>
          </cell>
        </row>
        <row r="138">
          <cell r="C138">
            <v>55233</v>
          </cell>
          <cell r="D138">
            <v>543230.68999999994</v>
          </cell>
        </row>
        <row r="139">
          <cell r="C139">
            <v>51653</v>
          </cell>
          <cell r="D139">
            <v>343389.04</v>
          </cell>
        </row>
        <row r="140">
          <cell r="C140">
            <v>16221</v>
          </cell>
          <cell r="D140">
            <v>195989</v>
          </cell>
        </row>
        <row r="141">
          <cell r="C141">
            <v>28538</v>
          </cell>
          <cell r="D141">
            <v>295141.42000000004</v>
          </cell>
        </row>
        <row r="142">
          <cell r="C142">
            <v>33546</v>
          </cell>
          <cell r="D142">
            <v>355268.6</v>
          </cell>
        </row>
        <row r="143">
          <cell r="C143">
            <v>50539</v>
          </cell>
          <cell r="D143">
            <v>505356.39</v>
          </cell>
        </row>
        <row r="144">
          <cell r="C144">
            <v>14677</v>
          </cell>
          <cell r="D144">
            <v>180772.07</v>
          </cell>
        </row>
        <row r="145">
          <cell r="C145">
            <v>15835</v>
          </cell>
          <cell r="D145">
            <v>146751.85</v>
          </cell>
        </row>
        <row r="146">
          <cell r="C146">
            <v>24504</v>
          </cell>
          <cell r="D146">
            <v>198984.32000000001</v>
          </cell>
        </row>
        <row r="147">
          <cell r="C147">
            <v>21816</v>
          </cell>
          <cell r="D147">
            <v>210783.92</v>
          </cell>
        </row>
        <row r="148">
          <cell r="C148">
            <v>28370</v>
          </cell>
          <cell r="D148">
            <v>246604.1</v>
          </cell>
        </row>
        <row r="149">
          <cell r="C149">
            <v>46733</v>
          </cell>
          <cell r="D149">
            <v>430873.95</v>
          </cell>
        </row>
        <row r="150">
          <cell r="C150">
            <v>46568</v>
          </cell>
          <cell r="D150">
            <v>393671.84</v>
          </cell>
        </row>
        <row r="151">
          <cell r="C151">
            <v>42540</v>
          </cell>
          <cell r="D151">
            <v>363945.2</v>
          </cell>
        </row>
        <row r="152">
          <cell r="C152">
            <v>39348</v>
          </cell>
          <cell r="D152">
            <v>275857.52</v>
          </cell>
        </row>
        <row r="153">
          <cell r="C153">
            <v>34125</v>
          </cell>
          <cell r="D153">
            <v>350641.25</v>
          </cell>
        </row>
        <row r="154">
          <cell r="C154">
            <v>61572</v>
          </cell>
          <cell r="D154">
            <v>580750.64</v>
          </cell>
        </row>
        <row r="155">
          <cell r="C155">
            <v>54730</v>
          </cell>
          <cell r="D155">
            <v>410123.4</v>
          </cell>
        </row>
        <row r="156">
          <cell r="C156">
            <v>38799</v>
          </cell>
          <cell r="D156">
            <v>332068.73</v>
          </cell>
        </row>
        <row r="157">
          <cell r="C157">
            <v>22293</v>
          </cell>
          <cell r="D157">
            <v>208949.09</v>
          </cell>
        </row>
        <row r="158">
          <cell r="C158">
            <v>37202</v>
          </cell>
          <cell r="D158">
            <v>346499.94</v>
          </cell>
        </row>
        <row r="159">
          <cell r="C159">
            <v>53171</v>
          </cell>
          <cell r="D159">
            <v>474836.29</v>
          </cell>
        </row>
        <row r="160">
          <cell r="C160">
            <v>33287</v>
          </cell>
          <cell r="D160">
            <v>255380.79</v>
          </cell>
        </row>
        <row r="161">
          <cell r="C161">
            <v>35445</v>
          </cell>
          <cell r="D161">
            <v>237858.5</v>
          </cell>
        </row>
        <row r="162">
          <cell r="C162">
            <v>21723</v>
          </cell>
          <cell r="D162">
            <v>224001.23</v>
          </cell>
        </row>
        <row r="163">
          <cell r="C163">
            <v>40939</v>
          </cell>
          <cell r="D163">
            <v>439329.89</v>
          </cell>
        </row>
        <row r="164">
          <cell r="C164">
            <v>45048</v>
          </cell>
          <cell r="D164">
            <v>362182.64</v>
          </cell>
        </row>
        <row r="165">
          <cell r="C165">
            <v>30296</v>
          </cell>
          <cell r="D165">
            <v>299639.04000000004</v>
          </cell>
        </row>
        <row r="166">
          <cell r="C166">
            <v>53521</v>
          </cell>
          <cell r="D166">
            <v>457210.54</v>
          </cell>
        </row>
        <row r="167">
          <cell r="C167">
            <v>24680</v>
          </cell>
          <cell r="D167">
            <v>209679.6</v>
          </cell>
        </row>
        <row r="168">
          <cell r="C168">
            <v>46956</v>
          </cell>
          <cell r="D168">
            <v>426587.12</v>
          </cell>
        </row>
        <row r="169">
          <cell r="C169">
            <v>16392</v>
          </cell>
          <cell r="D169">
            <v>200150.72</v>
          </cell>
        </row>
        <row r="170">
          <cell r="C170">
            <v>53761</v>
          </cell>
          <cell r="D170">
            <v>534924.22</v>
          </cell>
        </row>
        <row r="171">
          <cell r="C171">
            <v>56104</v>
          </cell>
          <cell r="D171">
            <v>460681.28</v>
          </cell>
        </row>
        <row r="172">
          <cell r="C172">
            <v>15241</v>
          </cell>
          <cell r="D172">
            <v>151200.24</v>
          </cell>
        </row>
        <row r="173">
          <cell r="C173">
            <v>19284</v>
          </cell>
          <cell r="D173">
            <v>212426.64</v>
          </cell>
        </row>
        <row r="174">
          <cell r="C174">
            <v>14673</v>
          </cell>
          <cell r="D174">
            <v>181763.54</v>
          </cell>
        </row>
        <row r="175">
          <cell r="C175">
            <v>57793</v>
          </cell>
          <cell r="D175">
            <v>497895.75</v>
          </cell>
        </row>
        <row r="176">
          <cell r="C176">
            <v>28259</v>
          </cell>
          <cell r="D176">
            <v>242161.2</v>
          </cell>
        </row>
        <row r="177">
          <cell r="C177">
            <v>30304</v>
          </cell>
          <cell r="D177">
            <v>206671.68</v>
          </cell>
        </row>
        <row r="178">
          <cell r="C178">
            <v>62568</v>
          </cell>
          <cell r="D178">
            <v>496735.52</v>
          </cell>
        </row>
        <row r="179">
          <cell r="C179">
            <v>56139</v>
          </cell>
          <cell r="D179">
            <v>513074.17</v>
          </cell>
        </row>
        <row r="180">
          <cell r="C180">
            <v>23120</v>
          </cell>
          <cell r="D180">
            <v>214614.39999999999</v>
          </cell>
        </row>
        <row r="181">
          <cell r="C181">
            <v>17006</v>
          </cell>
          <cell r="D181">
            <v>110924.66</v>
          </cell>
        </row>
        <row r="182">
          <cell r="C182">
            <v>31596</v>
          </cell>
          <cell r="D182">
            <v>329940.56</v>
          </cell>
        </row>
        <row r="183">
          <cell r="C183">
            <v>40607</v>
          </cell>
          <cell r="D183">
            <v>363486.04</v>
          </cell>
        </row>
        <row r="184">
          <cell r="C184">
            <v>61771</v>
          </cell>
          <cell r="D184">
            <v>569494.11</v>
          </cell>
        </row>
        <row r="185">
          <cell r="C185">
            <v>30412</v>
          </cell>
          <cell r="D185">
            <v>279610.59999999998</v>
          </cell>
        </row>
        <row r="186">
          <cell r="C186">
            <v>36947</v>
          </cell>
          <cell r="D186">
            <v>361463.21</v>
          </cell>
        </row>
        <row r="187">
          <cell r="C187">
            <v>43194</v>
          </cell>
          <cell r="D187">
            <v>395552</v>
          </cell>
        </row>
        <row r="188">
          <cell r="C188">
            <v>56866</v>
          </cell>
          <cell r="D188">
            <v>492417.48</v>
          </cell>
        </row>
        <row r="189">
          <cell r="C189">
            <v>39851</v>
          </cell>
          <cell r="D189">
            <v>367213.96</v>
          </cell>
        </row>
        <row r="190">
          <cell r="C190">
            <v>36617</v>
          </cell>
          <cell r="D190">
            <v>312177.71999999997</v>
          </cell>
        </row>
        <row r="191">
          <cell r="C191">
            <v>46438</v>
          </cell>
          <cell r="D191">
            <v>331878.65999999997</v>
          </cell>
        </row>
        <row r="192">
          <cell r="C192">
            <v>27520</v>
          </cell>
          <cell r="D192">
            <v>266032</v>
          </cell>
        </row>
        <row r="193">
          <cell r="C193">
            <v>28852</v>
          </cell>
          <cell r="D193">
            <v>311399.12</v>
          </cell>
        </row>
        <row r="194">
          <cell r="C194">
            <v>60878</v>
          </cell>
          <cell r="D194">
            <v>505367.44</v>
          </cell>
        </row>
        <row r="195">
          <cell r="C195">
            <v>32779</v>
          </cell>
          <cell r="D195">
            <v>211928.26</v>
          </cell>
        </row>
        <row r="196">
          <cell r="C196">
            <v>49959</v>
          </cell>
          <cell r="D196">
            <v>401211.77</v>
          </cell>
        </row>
      </sheetData>
      <sheetData sheetId="44"/>
      <sheetData sheetId="45"/>
      <sheetData sheetId="46"/>
      <sheetData sheetId="47"/>
      <sheetData sheetId="4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e134" displayName="Table134" ref="A1:C6" headerRowDxfId="11" dataDxfId="10" tableBorderDxfId="9">
  <tableColumns count="3">
    <tableColumn id="5" xr3:uid="{00000000-0010-0000-0300-000005000000}" name="YEAR" dataDxfId="8"/>
    <tableColumn id="4" xr3:uid="{00000000-0010-0000-0300-000004000000}" name="NORTH" dataDxfId="7" dataCellStyle="Comma"/>
    <tableColumn id="1" xr3:uid="{00000000-0010-0000-0300-000001000000}" name="SOUTH" dataDxf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Table1389" displayName="Table1389" ref="A1:C16" headerRowDxfId="5" dataDxfId="4" tableBorderDxfId="3">
  <tableColumns count="3">
    <tableColumn id="5" xr3:uid="{00000000-0010-0000-0400-000005000000}" name="YEAR" dataDxfId="2"/>
    <tableColumn id="4" xr3:uid="{00000000-0010-0000-0400-000004000000}" name="ADULT" dataDxfId="1" dataCellStyle="Comma"/>
    <tableColumn id="1" xr3:uid="{00000000-0010-0000-0400-000001000000}" name="JUVENILE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6"/>
  <sheetViews>
    <sheetView tabSelected="1" workbookViewId="0">
      <selection activeCell="D14" sqref="D14"/>
    </sheetView>
  </sheetViews>
  <sheetFormatPr defaultRowHeight="15" x14ac:dyDescent="0.25"/>
  <sheetData>
    <row r="1" spans="1:3" ht="15.75" x14ac:dyDescent="0.25">
      <c r="A1" s="1" t="s">
        <v>0</v>
      </c>
      <c r="B1" s="2" t="s">
        <v>1</v>
      </c>
      <c r="C1" s="3" t="s">
        <v>2</v>
      </c>
    </row>
    <row r="2" spans="1:3" ht="15.75" x14ac:dyDescent="0.25">
      <c r="A2" s="4" t="s">
        <v>3</v>
      </c>
      <c r="B2" s="5">
        <v>55502</v>
      </c>
      <c r="C2" s="5">
        <v>20641</v>
      </c>
    </row>
    <row r="3" spans="1:3" ht="15.75" x14ac:dyDescent="0.25">
      <c r="A3" s="4" t="s">
        <v>4</v>
      </c>
      <c r="B3" s="5">
        <v>85296</v>
      </c>
      <c r="C3" s="5">
        <v>42146</v>
      </c>
    </row>
    <row r="4" spans="1:3" ht="15.75" x14ac:dyDescent="0.25">
      <c r="A4" s="4" t="s">
        <v>5</v>
      </c>
      <c r="B4" s="5">
        <v>50492</v>
      </c>
      <c r="C4" s="5">
        <v>17552</v>
      </c>
    </row>
    <row r="5" spans="1:3" ht="15.75" x14ac:dyDescent="0.25">
      <c r="A5" s="4" t="s">
        <v>6</v>
      </c>
      <c r="B5" s="5">
        <v>79802</v>
      </c>
      <c r="C5" s="5">
        <v>54645</v>
      </c>
    </row>
    <row r="6" spans="1:3" ht="15.75" x14ac:dyDescent="0.25">
      <c r="A6" s="4" t="s">
        <v>7</v>
      </c>
      <c r="B6" s="5">
        <v>85142</v>
      </c>
      <c r="C6" s="5">
        <v>66458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8"/>
  <sheetViews>
    <sheetView topLeftCell="A4" workbookViewId="0">
      <selection activeCell="F18" sqref="F18"/>
    </sheetView>
  </sheetViews>
  <sheetFormatPr defaultColWidth="8.85546875" defaultRowHeight="15" x14ac:dyDescent="0.25"/>
  <cols>
    <col min="1" max="3" width="8.85546875" style="6"/>
    <col min="4" max="4" width="11.28515625" style="6" bestFit="1" customWidth="1"/>
    <col min="5" max="16384" width="8.85546875" style="6"/>
  </cols>
  <sheetData>
    <row r="1" spans="1:5" x14ac:dyDescent="0.25">
      <c r="A1" s="6" t="s">
        <v>18</v>
      </c>
      <c r="B1" s="6" t="s">
        <v>19</v>
      </c>
      <c r="C1" s="6" t="s">
        <v>20</v>
      </c>
      <c r="D1" s="6" t="s">
        <v>21</v>
      </c>
      <c r="E1" s="6" t="s">
        <v>22</v>
      </c>
    </row>
    <row r="2" spans="1:5" x14ac:dyDescent="0.25">
      <c r="A2" s="6" t="s">
        <v>15</v>
      </c>
      <c r="B2" s="6">
        <v>44</v>
      </c>
      <c r="C2" s="6">
        <v>5</v>
      </c>
      <c r="D2" s="6">
        <f>SUM(B2:C2)</f>
        <v>49</v>
      </c>
      <c r="E2" s="9">
        <f>B2/D2</f>
        <v>0.89795918367346939</v>
      </c>
    </row>
    <row r="3" spans="1:5" x14ac:dyDescent="0.25">
      <c r="A3" s="6" t="s">
        <v>16</v>
      </c>
      <c r="B3" s="6">
        <v>22</v>
      </c>
      <c r="C3" s="6">
        <v>9</v>
      </c>
      <c r="D3" s="6">
        <f t="shared" ref="D3:D8" si="0">SUM(B3:C3)</f>
        <v>31</v>
      </c>
      <c r="E3" s="9">
        <f t="shared" ref="E3:E8" si="1">B3/D3</f>
        <v>0.70967741935483875</v>
      </c>
    </row>
    <row r="4" spans="1:5" x14ac:dyDescent="0.25">
      <c r="A4" s="6" t="s">
        <v>17</v>
      </c>
      <c r="B4" s="6">
        <v>33</v>
      </c>
      <c r="C4" s="6">
        <v>7</v>
      </c>
      <c r="D4" s="6">
        <f t="shared" si="0"/>
        <v>40</v>
      </c>
      <c r="E4" s="9">
        <f t="shared" si="1"/>
        <v>0.82499999999999996</v>
      </c>
    </row>
    <row r="5" spans="1:5" x14ac:dyDescent="0.25">
      <c r="A5" s="6" t="s">
        <v>23</v>
      </c>
      <c r="B5" s="6">
        <v>44</v>
      </c>
      <c r="C5" s="6">
        <v>8</v>
      </c>
      <c r="D5" s="6">
        <f t="shared" si="0"/>
        <v>52</v>
      </c>
      <c r="E5" s="9">
        <f t="shared" si="1"/>
        <v>0.84615384615384615</v>
      </c>
    </row>
    <row r="6" spans="1:5" x14ac:dyDescent="0.25">
      <c r="A6" s="6" t="s">
        <v>24</v>
      </c>
      <c r="B6" s="6">
        <v>55</v>
      </c>
      <c r="C6" s="6">
        <v>12</v>
      </c>
      <c r="D6" s="6">
        <f t="shared" si="0"/>
        <v>67</v>
      </c>
      <c r="E6" s="9">
        <f t="shared" si="1"/>
        <v>0.82089552238805974</v>
      </c>
    </row>
    <row r="7" spans="1:5" x14ac:dyDescent="0.25">
      <c r="A7" s="6" t="s">
        <v>25</v>
      </c>
      <c r="B7" s="6">
        <v>66</v>
      </c>
      <c r="C7" s="6">
        <v>23</v>
      </c>
      <c r="D7" s="6">
        <f t="shared" si="0"/>
        <v>89</v>
      </c>
      <c r="E7" s="9">
        <f t="shared" si="1"/>
        <v>0.7415730337078652</v>
      </c>
    </row>
    <row r="8" spans="1:5" x14ac:dyDescent="0.25">
      <c r="A8" s="6" t="s">
        <v>26</v>
      </c>
      <c r="B8" s="6">
        <v>11</v>
      </c>
      <c r="C8" s="6">
        <v>3</v>
      </c>
      <c r="D8" s="6">
        <f t="shared" si="0"/>
        <v>14</v>
      </c>
      <c r="E8" s="9">
        <f t="shared" si="1"/>
        <v>0.7857142857142857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0FBE9-24AD-4C32-B128-0933EA8C5DD8}">
  <sheetPr>
    <tabColor rgb="FF0000FF"/>
  </sheetPr>
  <dimension ref="A1:H12"/>
  <sheetViews>
    <sheetView showGridLines="0" zoomScale="145" zoomScaleNormal="145" workbookViewId="0">
      <selection activeCell="A3" sqref="A3"/>
    </sheetView>
  </sheetViews>
  <sheetFormatPr defaultRowHeight="15" x14ac:dyDescent="0.25"/>
  <cols>
    <col min="1" max="1" width="9.140625" style="6"/>
    <col min="2" max="2" width="11.85546875" style="6" bestFit="1" customWidth="1"/>
    <col min="3" max="6" width="9.140625" style="6"/>
    <col min="7" max="11" width="16.85546875" style="6" customWidth="1"/>
    <col min="12" max="16384" width="9.140625" style="6"/>
  </cols>
  <sheetData>
    <row r="1" spans="1:8" x14ac:dyDescent="0.25">
      <c r="A1" s="10" t="s">
        <v>27</v>
      </c>
      <c r="B1" s="10"/>
      <c r="C1" s="10"/>
      <c r="D1" s="10"/>
      <c r="E1" s="10"/>
      <c r="F1" s="10"/>
      <c r="G1" s="10"/>
      <c r="H1" s="10"/>
    </row>
    <row r="3" spans="1:8" x14ac:dyDescent="0.25">
      <c r="A3" s="8" t="s">
        <v>8</v>
      </c>
      <c r="B3" s="8" t="s">
        <v>12</v>
      </c>
    </row>
    <row r="4" spans="1:8" x14ac:dyDescent="0.25">
      <c r="A4" s="6">
        <v>2005</v>
      </c>
      <c r="B4" s="11">
        <v>577023</v>
      </c>
    </row>
    <row r="5" spans="1:8" x14ac:dyDescent="0.25">
      <c r="A5" s="6">
        <v>2006</v>
      </c>
      <c r="B5" s="11">
        <v>566239</v>
      </c>
    </row>
    <row r="6" spans="1:8" x14ac:dyDescent="0.25">
      <c r="A6" s="6">
        <v>2007</v>
      </c>
      <c r="B6" s="11">
        <v>580987</v>
      </c>
    </row>
    <row r="7" spans="1:8" x14ac:dyDescent="0.25">
      <c r="A7" s="6">
        <v>2008</v>
      </c>
      <c r="B7" s="11">
        <v>603500</v>
      </c>
    </row>
    <row r="8" spans="1:8" x14ac:dyDescent="0.25">
      <c r="A8" s="6">
        <v>2009</v>
      </c>
      <c r="B8" s="11">
        <v>605821</v>
      </c>
    </row>
    <row r="9" spans="1:8" x14ac:dyDescent="0.25">
      <c r="A9" s="6">
        <v>2010</v>
      </c>
      <c r="B9" s="11">
        <v>669356</v>
      </c>
    </row>
    <row r="10" spans="1:8" x14ac:dyDescent="0.25">
      <c r="A10" s="6">
        <v>2011</v>
      </c>
      <c r="B10" s="11">
        <v>664569</v>
      </c>
    </row>
    <row r="11" spans="1:8" x14ac:dyDescent="0.25">
      <c r="A11" s="6">
        <v>2012</v>
      </c>
      <c r="B11" s="11">
        <v>717832</v>
      </c>
    </row>
    <row r="12" spans="1:8" x14ac:dyDescent="0.25">
      <c r="A12" s="6">
        <v>2013</v>
      </c>
      <c r="B12" s="11">
        <v>700144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B233F-AB19-45A9-B26F-9BCB61C71DD8}">
  <sheetPr>
    <tabColor rgb="FFFF0000"/>
    <pageSetUpPr fitToPage="1"/>
  </sheetPr>
  <dimension ref="A1:H12"/>
  <sheetViews>
    <sheetView showGridLines="0" zoomScale="130" zoomScaleNormal="130" workbookViewId="0">
      <selection activeCell="B10" sqref="B10"/>
    </sheetView>
  </sheetViews>
  <sheetFormatPr defaultRowHeight="15" x14ac:dyDescent="0.25"/>
  <cols>
    <col min="1" max="1" width="9.140625" style="6"/>
    <col min="2" max="2" width="11.85546875" style="6" bestFit="1" customWidth="1"/>
    <col min="3" max="6" width="9.140625" style="6"/>
    <col min="7" max="11" width="16.85546875" style="6" customWidth="1"/>
    <col min="12" max="16384" width="9.140625" style="6"/>
  </cols>
  <sheetData>
    <row r="1" spans="1:8" x14ac:dyDescent="0.25">
      <c r="A1" s="10" t="s">
        <v>28</v>
      </c>
      <c r="B1" s="10"/>
      <c r="C1" s="10"/>
      <c r="D1" s="10"/>
      <c r="E1" s="10"/>
      <c r="F1" s="10"/>
      <c r="G1" s="10"/>
      <c r="H1" s="10"/>
    </row>
    <row r="3" spans="1:8" x14ac:dyDescent="0.25">
      <c r="A3" s="8" t="s">
        <v>8</v>
      </c>
      <c r="B3" s="8" t="s">
        <v>12</v>
      </c>
    </row>
    <row r="4" spans="1:8" x14ac:dyDescent="0.25">
      <c r="A4" s="6">
        <v>2005</v>
      </c>
      <c r="B4" s="11">
        <v>577023</v>
      </c>
    </row>
    <row r="5" spans="1:8" x14ac:dyDescent="0.25">
      <c r="A5" s="6">
        <v>2006</v>
      </c>
      <c r="B5" s="11">
        <v>566239</v>
      </c>
    </row>
    <row r="6" spans="1:8" x14ac:dyDescent="0.25">
      <c r="A6" s="6">
        <v>2007</v>
      </c>
      <c r="B6" s="11">
        <v>580987</v>
      </c>
    </row>
    <row r="7" spans="1:8" x14ac:dyDescent="0.25">
      <c r="A7" s="6">
        <v>2008</v>
      </c>
      <c r="B7" s="11">
        <v>603500</v>
      </c>
    </row>
    <row r="8" spans="1:8" x14ac:dyDescent="0.25">
      <c r="A8" s="6">
        <v>2009</v>
      </c>
      <c r="B8" s="11">
        <v>605821</v>
      </c>
    </row>
    <row r="9" spans="1:8" x14ac:dyDescent="0.25">
      <c r="A9" s="6">
        <v>2010</v>
      </c>
      <c r="B9" s="11">
        <v>669356</v>
      </c>
    </row>
    <row r="10" spans="1:8" x14ac:dyDescent="0.25">
      <c r="A10" s="6">
        <v>2011</v>
      </c>
      <c r="B10" s="11">
        <v>664569</v>
      </c>
    </row>
    <row r="11" spans="1:8" x14ac:dyDescent="0.25">
      <c r="A11" s="6">
        <v>2012</v>
      </c>
      <c r="B11" s="11">
        <v>717832</v>
      </c>
    </row>
    <row r="12" spans="1:8" x14ac:dyDescent="0.25">
      <c r="A12" s="6">
        <v>2013</v>
      </c>
      <c r="B12" s="11">
        <v>700144</v>
      </c>
    </row>
  </sheetData>
  <pageMargins left="0.7" right="0.7" top="0.75" bottom="0.75" header="0.3" footer="0.3"/>
  <pageSetup scale="97" orientation="landscape" r:id="rId1"/>
  <headerFooter>
    <oddFooter>Page &amp;P of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7"/>
  <sheetViews>
    <sheetView workbookViewId="0">
      <selection activeCell="K16" sqref="K16"/>
    </sheetView>
  </sheetViews>
  <sheetFormatPr defaultRowHeight="15" x14ac:dyDescent="0.25"/>
  <sheetData>
    <row r="1" spans="1:4" x14ac:dyDescent="0.25">
      <c r="A1" t="s">
        <v>8</v>
      </c>
      <c r="B1" t="s">
        <v>9</v>
      </c>
      <c r="C1" t="s">
        <v>10</v>
      </c>
      <c r="D1" t="s">
        <v>11</v>
      </c>
    </row>
    <row r="2" spans="1:4" x14ac:dyDescent="0.25">
      <c r="A2">
        <v>2017</v>
      </c>
      <c r="B2">
        <v>8</v>
      </c>
      <c r="C2">
        <v>150</v>
      </c>
      <c r="D2">
        <v>80</v>
      </c>
    </row>
    <row r="3" spans="1:4" x14ac:dyDescent="0.25">
      <c r="A3">
        <f>A2+1</f>
        <v>2018</v>
      </c>
      <c r="B3">
        <v>54</v>
      </c>
      <c r="C3">
        <v>77</v>
      </c>
      <c r="D3">
        <v>54</v>
      </c>
    </row>
    <row r="4" spans="1:4" x14ac:dyDescent="0.25">
      <c r="A4">
        <f t="shared" ref="A4:A7" si="0">A3+1</f>
        <v>2019</v>
      </c>
      <c r="B4">
        <v>93</v>
      </c>
      <c r="C4">
        <v>32</v>
      </c>
      <c r="D4">
        <v>100</v>
      </c>
    </row>
    <row r="5" spans="1:4" x14ac:dyDescent="0.25">
      <c r="A5">
        <f t="shared" si="0"/>
        <v>2020</v>
      </c>
      <c r="B5">
        <v>116</v>
      </c>
      <c r="C5">
        <v>11</v>
      </c>
      <c r="D5">
        <v>76</v>
      </c>
    </row>
    <row r="6" spans="1:4" x14ac:dyDescent="0.25">
      <c r="A6">
        <f t="shared" si="0"/>
        <v>2021</v>
      </c>
      <c r="B6">
        <v>137</v>
      </c>
      <c r="C6">
        <v>6</v>
      </c>
      <c r="D6">
        <v>93</v>
      </c>
    </row>
    <row r="7" spans="1:4" x14ac:dyDescent="0.25">
      <c r="A7">
        <f t="shared" si="0"/>
        <v>2022</v>
      </c>
      <c r="B7">
        <v>184</v>
      </c>
      <c r="C7">
        <v>1</v>
      </c>
      <c r="D7">
        <v>72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C16"/>
  <sheetViews>
    <sheetView workbookViewId="0">
      <selection activeCell="G18" sqref="G18"/>
    </sheetView>
  </sheetViews>
  <sheetFormatPr defaultColWidth="8.85546875" defaultRowHeight="15" x14ac:dyDescent="0.25"/>
  <cols>
    <col min="1" max="2" width="8.85546875" style="6"/>
    <col min="3" max="3" width="13.28515625" style="6" customWidth="1"/>
    <col min="4" max="16384" width="8.85546875" style="6"/>
  </cols>
  <sheetData>
    <row r="1" spans="1:3" ht="15.75" x14ac:dyDescent="0.25">
      <c r="A1" s="1" t="s">
        <v>0</v>
      </c>
      <c r="B1" s="2" t="s">
        <v>13</v>
      </c>
      <c r="C1" s="3" t="s">
        <v>14</v>
      </c>
    </row>
    <row r="2" spans="1:3" ht="15.75" x14ac:dyDescent="0.25">
      <c r="A2" s="4">
        <v>1980</v>
      </c>
      <c r="B2" s="5">
        <v>55502</v>
      </c>
      <c r="C2" s="5">
        <v>20641</v>
      </c>
    </row>
    <row r="3" spans="1:3" ht="15.75" x14ac:dyDescent="0.25">
      <c r="A3" s="4">
        <v>1981</v>
      </c>
      <c r="B3" s="5">
        <v>85296</v>
      </c>
      <c r="C3" s="5">
        <v>42146</v>
      </c>
    </row>
    <row r="4" spans="1:3" ht="15.75" x14ac:dyDescent="0.25">
      <c r="A4" s="4">
        <v>1982</v>
      </c>
      <c r="B4" s="5">
        <v>50492</v>
      </c>
      <c r="C4" s="5">
        <v>17552</v>
      </c>
    </row>
    <row r="5" spans="1:3" ht="15.75" x14ac:dyDescent="0.25">
      <c r="A5" s="4">
        <v>1983</v>
      </c>
      <c r="B5" s="5">
        <v>79802</v>
      </c>
      <c r="C5" s="5">
        <v>54645</v>
      </c>
    </row>
    <row r="6" spans="1:3" ht="15.75" x14ac:dyDescent="0.25">
      <c r="A6" s="4">
        <v>1984</v>
      </c>
      <c r="B6" s="5">
        <v>85142</v>
      </c>
      <c r="C6" s="5">
        <v>66458</v>
      </c>
    </row>
    <row r="7" spans="1:3" ht="15.75" x14ac:dyDescent="0.25">
      <c r="A7" s="4">
        <v>1985</v>
      </c>
      <c r="B7" s="7">
        <v>23454</v>
      </c>
      <c r="C7" s="5">
        <v>67676</v>
      </c>
    </row>
    <row r="8" spans="1:3" ht="15.75" x14ac:dyDescent="0.25">
      <c r="A8" s="4">
        <v>1986</v>
      </c>
      <c r="B8" s="7">
        <v>67668</v>
      </c>
      <c r="C8" s="5">
        <v>98989</v>
      </c>
    </row>
    <row r="9" spans="1:3" ht="15.75" x14ac:dyDescent="0.25">
      <c r="A9" s="4">
        <v>1987</v>
      </c>
      <c r="B9" s="7">
        <v>98989</v>
      </c>
      <c r="C9" s="5">
        <v>23232</v>
      </c>
    </row>
    <row r="10" spans="1:3" ht="15.75" x14ac:dyDescent="0.25">
      <c r="A10" s="4">
        <v>1988</v>
      </c>
      <c r="B10" s="7">
        <v>78787</v>
      </c>
      <c r="C10" s="5">
        <v>55656</v>
      </c>
    </row>
    <row r="11" spans="1:3" ht="15.75" x14ac:dyDescent="0.25">
      <c r="A11" s="4">
        <v>1989</v>
      </c>
      <c r="B11" s="7">
        <v>56565</v>
      </c>
      <c r="C11" s="5">
        <v>67676</v>
      </c>
    </row>
    <row r="12" spans="1:3" ht="15.75" x14ac:dyDescent="0.25">
      <c r="A12" s="4">
        <v>1990</v>
      </c>
      <c r="B12" s="7">
        <v>89898</v>
      </c>
      <c r="C12" s="5">
        <v>45454</v>
      </c>
    </row>
    <row r="13" spans="1:3" ht="15.75" x14ac:dyDescent="0.25">
      <c r="A13" s="4">
        <v>1991</v>
      </c>
      <c r="B13" s="7">
        <v>67654</v>
      </c>
      <c r="C13" s="5">
        <v>98988</v>
      </c>
    </row>
    <row r="14" spans="1:3" ht="15.75" x14ac:dyDescent="0.25">
      <c r="A14" s="4">
        <v>1992</v>
      </c>
      <c r="B14" s="7">
        <v>34343</v>
      </c>
      <c r="C14" s="5">
        <v>67766</v>
      </c>
    </row>
    <row r="15" spans="1:3" ht="15.75" x14ac:dyDescent="0.25">
      <c r="A15" s="4">
        <v>1993</v>
      </c>
      <c r="B15" s="7">
        <v>65656</v>
      </c>
      <c r="C15" s="5">
        <v>22232</v>
      </c>
    </row>
    <row r="16" spans="1:3" ht="15.75" x14ac:dyDescent="0.25">
      <c r="A16" s="4">
        <v>1994</v>
      </c>
      <c r="B16" s="7">
        <v>87878</v>
      </c>
      <c r="C16" s="5">
        <v>45454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Bar Chart</vt:lpstr>
      <vt:lpstr>Bar Chart 1</vt:lpstr>
      <vt:lpstr>Line</vt:lpstr>
      <vt:lpstr>Line (an)</vt:lpstr>
      <vt:lpstr>Line 1</vt:lpstr>
      <vt:lpstr>HW</vt:lpstr>
      <vt:lpstr>'Line (an)'!Print_Area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2019-05-28T03:21:04Z</dcterms:created>
  <dcterms:modified xsi:type="dcterms:W3CDTF">2021-05-03T08:03:30Z</dcterms:modified>
</cp:coreProperties>
</file>