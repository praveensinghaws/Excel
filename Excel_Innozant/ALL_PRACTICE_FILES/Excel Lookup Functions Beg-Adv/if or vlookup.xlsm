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Lookup Functions Beg-Adv\"/>
    </mc:Choice>
  </mc:AlternateContent>
  <xr:revisionPtr revIDLastSave="0" documentId="13_ncr:1_{252AEC80-D78E-4520-80A9-481A23356A40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IF or VLOOKUP" sheetId="2" r:id="rId1"/>
  </sheets>
  <externalReferences>
    <externalReference r:id="rId2"/>
    <externalReference r:id="rId3"/>
  </externalReferences>
  <definedNames>
    <definedName name="Apr">#REF!</definedName>
    <definedName name="Aug">#REF!</definedName>
    <definedName name="benifits">[1]VLOOKUPEX!$G$1:$I$7</definedName>
    <definedName name="BoomName">[1]VLOOKUP!$B$31:$B$39</definedName>
    <definedName name="BoomPicAN">INDEX(#REF!,MATCH(#REF!,#REF!,0))</definedName>
    <definedName name="CusT">#REF!</definedName>
    <definedName name="Dec">#REF!</definedName>
    <definedName name="Dept01">#REF!</definedName>
    <definedName name="Dept02">#REF!</definedName>
    <definedName name="Dept03">#REF!</definedName>
    <definedName name="Dept04">#REF!</definedName>
    <definedName name="Dept05">#REF!</definedName>
    <definedName name="exact">[2]Exact!$A$4:$D$12</definedName>
    <definedName name="Feb">#REF!</definedName>
    <definedName name="Jan">#REF!</definedName>
    <definedName name="Jul">#REF!</definedName>
    <definedName name="Jun">#REF!</definedName>
    <definedName name="Mar">#REF!</definedName>
    <definedName name="May">#REF!</definedName>
    <definedName name="NAME">#REF!</definedName>
    <definedName name="Nov">#REF!</definedName>
    <definedName name="Oct">#REF!</definedName>
    <definedName name="p">[1]VLOOKUP!$B$20:$B$24</definedName>
    <definedName name="picture">INDEX(#REF!,MATCH(#REF!,#REF!,0))</definedName>
    <definedName name="Region">#REF!</definedName>
    <definedName name="Sep">#REF!</definedName>
    <definedName name="ShipM">#REF!</definedName>
    <definedName name="Tax">[1]VLOOKUP!$I$70:$M$77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8" i="2" l="1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47" i="2"/>
  <c r="C31" i="2"/>
  <c r="C32" i="2"/>
  <c r="C33" i="2"/>
  <c r="C34" i="2"/>
  <c r="C35" i="2"/>
  <c r="C36" i="2"/>
  <c r="C37" i="2"/>
  <c r="C30" i="2"/>
  <c r="F47" i="2" l="1"/>
  <c r="C16" i="2" l="1"/>
  <c r="C17" i="2"/>
  <c r="C18" i="2"/>
  <c r="I18" i="2"/>
  <c r="I38" i="2" l="1"/>
  <c r="I37" i="2"/>
  <c r="I36" i="2"/>
  <c r="I35" i="2"/>
  <c r="I34" i="2"/>
  <c r="I33" i="2"/>
  <c r="I32" i="2"/>
  <c r="P47" i="2" l="1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C19" i="2"/>
  <c r="C20" i="2"/>
  <c r="C21" i="2"/>
  <c r="C22" i="2"/>
  <c r="C23" i="2"/>
  <c r="I19" i="2"/>
  <c r="I20" i="2"/>
  <c r="I21" i="2"/>
  <c r="I22" i="2"/>
  <c r="I23" i="2"/>
  <c r="I24" i="2"/>
  <c r="C9" i="2"/>
  <c r="C10" i="2"/>
  <c r="C11" i="2"/>
  <c r="C4" i="2"/>
  <c r="C5" i="2" l="1"/>
  <c r="C6" i="2"/>
  <c r="C7" i="2"/>
  <c r="C8" i="2"/>
</calcChain>
</file>

<file path=xl/sharedStrings.xml><?xml version="1.0" encoding="utf-8"?>
<sst xmlns="http://schemas.openxmlformats.org/spreadsheetml/2006/main" count="229" uniqueCount="59">
  <si>
    <t>Employee</t>
  </si>
  <si>
    <t>Sales</t>
  </si>
  <si>
    <t>Bonus Commission? 5% or 1%</t>
  </si>
  <si>
    <t>Hurdle</t>
  </si>
  <si>
    <t>Bonus %</t>
  </si>
  <si>
    <t>No Bonus %</t>
  </si>
  <si>
    <t>you earn a 5% bonus, otherwise you get a 1%</t>
  </si>
  <si>
    <t>bonus</t>
  </si>
  <si>
    <t>Sales Category</t>
  </si>
  <si>
    <t>Instead of this:</t>
  </si>
  <si>
    <t>We had this:</t>
  </si>
  <si>
    <t>Contract Reads: if you have sales of $20,000 or more,</t>
  </si>
  <si>
    <t>Contract Reads:</t>
  </si>
  <si>
    <t>Date</t>
  </si>
  <si>
    <t>Product</t>
  </si>
  <si>
    <t>County Code</t>
  </si>
  <si>
    <t>Units</t>
  </si>
  <si>
    <t>USA</t>
  </si>
  <si>
    <t>ESP</t>
  </si>
  <si>
    <t>POL</t>
  </si>
  <si>
    <t>ARE</t>
  </si>
  <si>
    <t>ARG</t>
  </si>
  <si>
    <t>CZE</t>
  </si>
  <si>
    <t>ARM</t>
  </si>
  <si>
    <t>UKR</t>
  </si>
  <si>
    <t>ISL</t>
  </si>
  <si>
    <t>BRA</t>
  </si>
  <si>
    <t>CAN</t>
  </si>
  <si>
    <t>DOM</t>
  </si>
  <si>
    <t>IND</t>
  </si>
  <si>
    <t>ITA</t>
  </si>
  <si>
    <t>NAM</t>
  </si>
  <si>
    <t>VEN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</si>
  <si>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</si>
  <si>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</si>
  <si>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</si>
  <si>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</si>
  <si>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</si>
  <si>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</si>
  <si>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</si>
  <si>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Bonus Commission %?</t>
  </si>
  <si>
    <t>Bonus Comm. %</t>
  </si>
  <si>
    <t>VLOOKUP is easier than IF when you have more than 1 of 2 items to put in a cell:</t>
  </si>
  <si>
    <t>Kartik aryan</t>
  </si>
  <si>
    <t>Arunish sod</t>
  </si>
  <si>
    <t>Karna mehrotra</t>
  </si>
  <si>
    <t>Anamika Singh</t>
  </si>
  <si>
    <t>Ekanshika Kalra</t>
  </si>
  <si>
    <t>Swati Singh</t>
  </si>
  <si>
    <t>Aman Mathur</t>
  </si>
  <si>
    <t>Surbhi Jain</t>
  </si>
  <si>
    <t>samsung</t>
  </si>
  <si>
    <t>nokia</t>
  </si>
  <si>
    <t>oppo</t>
  </si>
  <si>
    <t>lava</t>
  </si>
  <si>
    <t>vivi</t>
  </si>
  <si>
    <t>life</t>
  </si>
  <si>
    <t>We had this</t>
  </si>
  <si>
    <t>We had this-vlookup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</si>
</sst>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10"/>
      <name val="Arial"/>
      <family val="2"/>
    </font>
    <font>
      <sz val="2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2" borderId="1">
      <alignment wrapText="1"/>
    </xf>
    <xf numFmtId="0" fontId="3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1" fillId="0" borderId="0"/>
    <xf numFmtId="44" fontId="3" fillId="0" borderId="0" applyFont="0" applyFill="0" applyBorder="0" applyAlignment="0" applyProtection="0"/>
  </cellStyleXfs>
  <cellXfs count="24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2" fillId="3" borderId="1" xfId="0" applyFont="1" applyFill="1" applyBorder="1" applyAlignment="1">
      <alignment wrapText="1"/>
    </xf>
    <xf numFmtId="0" fontId="0" fillId="0" borderId="1" xfId="0" applyBorder="1"/>
    <xf numFmtId="0" fontId="4" fillId="0" borderId="0" xfId="0" applyFont="1"/>
    <xf numFmtId="0" fontId="0" fillId="0" borderId="0" xfId="0" applyFont="1"/>
    <xf numFmtId="0" fontId="2" fillId="2" borderId="1" xfId="2" applyFont="1" applyBorder="1">
      <alignment wrapText="1"/>
    </xf>
    <xf numFmtId="0" fontId="6" fillId="0" borderId="1" xfId="3" applyFont="1" applyBorder="1"/>
    <xf numFmtId="43" fontId="6" fillId="0" borderId="1" xfId="1" applyNumberFormat="1" applyFont="1" applyBorder="1"/>
    <xf numFmtId="10" fontId="0" fillId="4" borderId="1" xfId="0" applyNumberFormat="1" applyFont="1" applyFill="1" applyBorder="1"/>
    <xf numFmtId="0" fontId="0" fillId="0" borderId="1" xfId="0" applyFont="1" applyBorder="1"/>
    <xf numFmtId="0" fontId="6" fillId="0" borderId="1" xfId="3" applyFont="1" applyFill="1" applyBorder="1"/>
    <xf numFmtId="0" fontId="5" fillId="2" borderId="1" xfId="0" applyFont="1" applyFill="1" applyBorder="1"/>
    <xf numFmtId="14" fontId="0" fillId="0" borderId="1" xfId="0" applyNumberFormat="1" applyBorder="1"/>
    <xf numFmtId="0" fontId="0" fillId="4" borderId="1" xfId="0" applyFill="1" applyBorder="1"/>
    <xf numFmtId="0" fontId="0" fillId="0" borderId="1" xfId="0" applyFont="1" applyFill="1" applyBorder="1"/>
    <xf numFmtId="0" fontId="5" fillId="3" borderId="1" xfId="0" applyFont="1" applyFill="1" applyBorder="1"/>
    <xf numFmtId="10" fontId="0" fillId="0" borderId="1" xfId="0" applyNumberFormat="1" applyFont="1" applyBorder="1"/>
    <xf numFmtId="0" fontId="8" fillId="2" borderId="0" xfId="0" applyFont="1" applyFill="1"/>
    <xf numFmtId="0" fontId="2" fillId="2" borderId="0" xfId="0" applyFont="1" applyFill="1"/>
    <xf numFmtId="0" fontId="5" fillId="2" borderId="0" xfId="0" applyFont="1" applyFill="1"/>
    <xf numFmtId="0" fontId="2" fillId="5" borderId="0" xfId="0" applyFont="1" applyFill="1"/>
    <xf numFmtId="0" fontId="0" fillId="5" borderId="0" xfId="0" applyFont="1" applyFill="1"/>
  </cellXfs>
  <cellStyles count="7">
    <cellStyle name="blue" xfId="2" xr:uid="{00000000-0005-0000-0000-000000000000}"/>
    <cellStyle name="Comma" xfId="1" builtinId="3"/>
    <cellStyle name="Currency 2" xfId="6" xr:uid="{00000000-0005-0000-0000-000002000000}"/>
    <cellStyle name="Hyperlink 2" xfId="4" xr:uid="{00000000-0005-0000-0000-000003000000}"/>
    <cellStyle name="Normal" xfId="0" builtinId="0"/>
    <cellStyle name="Normal 2" xfId="3" xr:uid="{00000000-0005-0000-0000-000005000000}"/>
    <cellStyle name="Normal 3 2" xfId="5" xr:uid="{00000000-0005-0000-0000-000006000000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INNOZANT\EXCELZANT\Example%20Class%20Master\BUILT%20IN%20FUNCTION\LOOKUP%20REFERENCE\VLOOKUP%20HLOOKUP%20LOOKUP%20IMAGE%20LOOKUP\vlooku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IS%20MASTER\MIS%20CLASS\BUILT%20IN%20FUNCTION\LOOKUP%20REFERENCE\Class%201-Vlookup\2.%20VLOOKUPClas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more"/>
      <sheetName val="LookupDetails"/>
      <sheetName val="VLOOKUPEX"/>
      <sheetName val="VLOOKUP"/>
    </sheetNames>
    <sheetDataSet>
      <sheetData sheetId="0"/>
      <sheetData sheetId="1"/>
      <sheetData sheetId="2">
        <row r="1">
          <cell r="G1" t="str">
            <v>Job Title</v>
          </cell>
          <cell r="H1" t="str">
            <v>Salary</v>
          </cell>
          <cell r="I1" t="str">
            <v>Car gifted</v>
          </cell>
        </row>
        <row r="2">
          <cell r="G2" t="str">
            <v>Manager</v>
          </cell>
          <cell r="H2">
            <v>60000</v>
          </cell>
          <cell r="I2" t="str">
            <v>balleno</v>
          </cell>
        </row>
        <row r="3">
          <cell r="G3" t="str">
            <v>Director</v>
          </cell>
          <cell r="H3">
            <v>100000</v>
          </cell>
          <cell r="I3" t="str">
            <v>bmw</v>
          </cell>
        </row>
        <row r="4">
          <cell r="G4" t="str">
            <v>Trainer</v>
          </cell>
          <cell r="H4">
            <v>45000</v>
          </cell>
          <cell r="I4" t="str">
            <v>swift desire</v>
          </cell>
        </row>
        <row r="5">
          <cell r="G5" t="str">
            <v>admin</v>
          </cell>
          <cell r="H5">
            <v>35000</v>
          </cell>
          <cell r="I5" t="str">
            <v>swift</v>
          </cell>
        </row>
        <row r="6">
          <cell r="G6" t="str">
            <v>technician</v>
          </cell>
          <cell r="H6">
            <v>30000</v>
          </cell>
          <cell r="I6" t="str">
            <v>wagnar</v>
          </cell>
        </row>
        <row r="7">
          <cell r="G7" t="str">
            <v>sales</v>
          </cell>
          <cell r="H7">
            <v>20000</v>
          </cell>
          <cell r="I7" t="str">
            <v>alto</v>
          </cell>
        </row>
      </sheetData>
      <sheetData sheetId="3">
        <row r="20">
          <cell r="B20" t="str">
            <v>Product 1</v>
          </cell>
        </row>
        <row r="21">
          <cell r="B21" t="str">
            <v>Product 2</v>
          </cell>
        </row>
        <row r="22">
          <cell r="B22" t="str">
            <v>Product 3</v>
          </cell>
        </row>
        <row r="23">
          <cell r="B23" t="str">
            <v>Product 4</v>
          </cell>
        </row>
        <row r="24">
          <cell r="B24" t="str">
            <v>Product 5</v>
          </cell>
        </row>
        <row r="31">
          <cell r="B31" t="str">
            <v>Boom01</v>
          </cell>
        </row>
        <row r="32">
          <cell r="B32" t="str">
            <v>Boom02</v>
          </cell>
        </row>
        <row r="33">
          <cell r="B33" t="str">
            <v>Boom03</v>
          </cell>
        </row>
        <row r="34">
          <cell r="B34" t="str">
            <v>Boom04</v>
          </cell>
        </row>
        <row r="35">
          <cell r="B35" t="str">
            <v>Boom05</v>
          </cell>
        </row>
        <row r="36">
          <cell r="B36" t="str">
            <v>Boom06</v>
          </cell>
        </row>
        <row r="37">
          <cell r="B37" t="str">
            <v>Boom07</v>
          </cell>
        </row>
        <row r="38">
          <cell r="B38" t="str">
            <v>Boom08</v>
          </cell>
        </row>
        <row r="39">
          <cell r="B39" t="str">
            <v>Boom09</v>
          </cell>
        </row>
        <row r="70">
          <cell r="I70">
            <v>0</v>
          </cell>
          <cell r="J70">
            <v>0</v>
          </cell>
          <cell r="K70">
            <v>50000</v>
          </cell>
          <cell r="M70">
            <v>0.15</v>
          </cell>
        </row>
        <row r="71">
          <cell r="I71">
            <v>50001</v>
          </cell>
          <cell r="J71">
            <v>50000</v>
          </cell>
          <cell r="K71">
            <v>75000</v>
          </cell>
          <cell r="L71">
            <v>7500</v>
          </cell>
          <cell r="M71">
            <v>0.25</v>
          </cell>
        </row>
        <row r="72">
          <cell r="I72">
            <v>75001</v>
          </cell>
          <cell r="J72">
            <v>75000</v>
          </cell>
          <cell r="K72">
            <v>100000</v>
          </cell>
          <cell r="L72">
            <v>13750</v>
          </cell>
          <cell r="M72">
            <v>0.34</v>
          </cell>
        </row>
        <row r="73">
          <cell r="I73">
            <v>100001</v>
          </cell>
          <cell r="J73">
            <v>100000</v>
          </cell>
          <cell r="K73">
            <v>335000</v>
          </cell>
          <cell r="L73">
            <v>22250</v>
          </cell>
          <cell r="M73">
            <v>0.39</v>
          </cell>
        </row>
        <row r="74">
          <cell r="I74">
            <v>335001</v>
          </cell>
          <cell r="J74">
            <v>335000</v>
          </cell>
          <cell r="K74">
            <v>10000000</v>
          </cell>
          <cell r="L74">
            <v>113900</v>
          </cell>
          <cell r="M74">
            <v>0.34</v>
          </cell>
        </row>
        <row r="75">
          <cell r="I75">
            <v>10000001</v>
          </cell>
          <cell r="J75">
            <v>10000000</v>
          </cell>
          <cell r="K75">
            <v>15000000</v>
          </cell>
          <cell r="L75">
            <v>3400000.0000000005</v>
          </cell>
          <cell r="M75">
            <v>0.35</v>
          </cell>
        </row>
        <row r="76">
          <cell r="I76">
            <v>15000001</v>
          </cell>
          <cell r="J76">
            <v>15000000</v>
          </cell>
          <cell r="K76">
            <v>18333333</v>
          </cell>
          <cell r="L76">
            <v>5150000</v>
          </cell>
          <cell r="M76">
            <v>0.38</v>
          </cell>
        </row>
        <row r="77">
          <cell r="I77">
            <v>18333334</v>
          </cell>
          <cell r="J77">
            <v>18333333</v>
          </cell>
          <cell r="L77">
            <v>6416666.54</v>
          </cell>
          <cell r="M77">
            <v>0.35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Details"/>
      <sheetName val="VLOOKUP With Other"/>
      <sheetName val="Exact"/>
      <sheetName val="Aproximate"/>
      <sheetName val="Different"/>
      <sheetName val="Table"/>
      <sheetName val="Full Record"/>
      <sheetName val="Dynamic"/>
    </sheetNames>
    <sheetDataSet>
      <sheetData sheetId="0"/>
      <sheetData sheetId="1"/>
      <sheetData sheetId="2">
        <row r="4">
          <cell r="A4" t="str">
            <v>Boomerang</v>
          </cell>
          <cell r="B4" t="str">
            <v>Part Number</v>
          </cell>
          <cell r="C4" t="str">
            <v>Flight Range (meters)</v>
          </cell>
          <cell r="D4" t="str">
            <v>Price</v>
          </cell>
        </row>
        <row r="5">
          <cell r="A5" t="str">
            <v>Bellen</v>
          </cell>
          <cell r="B5" t="str">
            <v>1000-165-B100</v>
          </cell>
          <cell r="C5">
            <v>25</v>
          </cell>
          <cell r="D5">
            <v>26.95</v>
          </cell>
        </row>
        <row r="6">
          <cell r="A6" t="str">
            <v>Carlota</v>
          </cell>
          <cell r="B6" t="str">
            <v>1001-540-C101</v>
          </cell>
          <cell r="C6">
            <v>20</v>
          </cell>
          <cell r="D6">
            <v>28.95</v>
          </cell>
        </row>
        <row r="7">
          <cell r="A7" t="str">
            <v>Majestic Beaut</v>
          </cell>
          <cell r="B7" t="str">
            <v>1002-394-M102</v>
          </cell>
          <cell r="C7">
            <v>35</v>
          </cell>
          <cell r="D7">
            <v>31.95</v>
          </cell>
        </row>
        <row r="8">
          <cell r="A8" t="str">
            <v>Quad</v>
          </cell>
          <cell r="B8" t="str">
            <v>1003-307-Q103</v>
          </cell>
          <cell r="C8">
            <v>20</v>
          </cell>
          <cell r="D8">
            <v>35.950000000000003</v>
          </cell>
        </row>
        <row r="9">
          <cell r="A9" t="str">
            <v>Sunshine</v>
          </cell>
          <cell r="B9" t="str">
            <v>1004-848-S104</v>
          </cell>
          <cell r="C9">
            <v>30</v>
          </cell>
          <cell r="D9">
            <v>18.95</v>
          </cell>
        </row>
        <row r="10">
          <cell r="A10" t="str">
            <v>Sunset</v>
          </cell>
          <cell r="B10" t="str">
            <v>1005-155-S105</v>
          </cell>
          <cell r="C10">
            <v>40</v>
          </cell>
          <cell r="D10">
            <v>20.95</v>
          </cell>
        </row>
        <row r="11">
          <cell r="A11" t="str">
            <v>Tri-Fly</v>
          </cell>
          <cell r="B11" t="str">
            <v>1006-552-T106</v>
          </cell>
          <cell r="C11">
            <v>1</v>
          </cell>
          <cell r="D11">
            <v>4.95</v>
          </cell>
        </row>
        <row r="12">
          <cell r="A12" t="str">
            <v>Outdoor Tri-Fly</v>
          </cell>
          <cell r="B12" t="str">
            <v>1007-634-O107</v>
          </cell>
          <cell r="C12">
            <v>5</v>
          </cell>
          <cell r="D12">
            <v>8.9499999999999993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AF70"/>
  <sheetViews>
    <sheetView tabSelected="1" topLeftCell="M45" zoomScale="85" zoomScaleNormal="85" workbookViewId="0">
      <selection activeCell="Z48" sqref="Z48"/>
    </sheetView>
  </sheetViews>
  <sheetFormatPr defaultRowHeight="15" x14ac:dyDescent="0.25"/>
  <cols>
    <col min="1" max="1" width="14.5703125" style="6" bestFit="1" customWidth="1"/>
    <col min="2" max="3" width="16.28515625" style="6" bestFit="1" customWidth="1"/>
    <col min="4" max="4" width="12" style="6" bestFit="1" customWidth="1"/>
    <col min="5" max="5" width="11.7109375" style="6" customWidth="1"/>
    <col min="6" max="6" width="16" style="6" customWidth="1"/>
    <col min="7" max="7" width="16.42578125" style="6" customWidth="1"/>
    <col min="8" max="8" width="10.5703125" style="6" customWidth="1"/>
    <col min="9" max="9" width="12.42578125" style="6" customWidth="1"/>
    <col min="10" max="10" width="9.140625" style="6"/>
    <col min="11" max="11" width="14.42578125" style="6" customWidth="1"/>
    <col min="12" max="12" width="9.140625" style="6"/>
    <col min="13" max="13" width="15.42578125" style="6" customWidth="1"/>
    <col min="14" max="14" width="11" style="6" customWidth="1"/>
    <col min="15" max="15" width="9.140625" style="6"/>
    <col min="16" max="16" width="11.5703125" style="6" customWidth="1"/>
    <col min="17" max="17" width="15.140625" style="6" customWidth="1"/>
    <col min="18" max="18" width="17.5703125" style="6" customWidth="1"/>
    <col min="19" max="19" width="14.28515625" style="6" customWidth="1"/>
    <col min="20" max="20" width="9.140625" style="6"/>
    <col min="21" max="21" width="11.140625" style="6" customWidth="1"/>
    <col min="22" max="22" width="13.85546875" style="6" customWidth="1"/>
    <col min="23" max="23" width="9.140625" style="6"/>
    <col min="24" max="24" width="11.5703125" style="6" customWidth="1"/>
    <col min="25" max="25" width="15.28515625" style="6" customWidth="1"/>
    <col min="26" max="16384" width="9.140625" style="6"/>
  </cols>
  <sheetData>
    <row r="1" spans="1:12" ht="28.5" x14ac:dyDescent="0.45">
      <c r="A1" s="19" t="s">
        <v>9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3" spans="1:12" ht="45" x14ac:dyDescent="0.25">
      <c r="A3" s="7" t="s">
        <v>0</v>
      </c>
      <c r="B3" s="1" t="s">
        <v>1</v>
      </c>
      <c r="C3" s="7" t="s">
        <v>2</v>
      </c>
      <c r="E3" s="2" t="s">
        <v>3</v>
      </c>
      <c r="F3" s="2" t="s">
        <v>4</v>
      </c>
      <c r="G3" s="3" t="s">
        <v>5</v>
      </c>
      <c r="I3" s="6" t="s">
        <v>11</v>
      </c>
    </row>
    <row r="4" spans="1:12" x14ac:dyDescent="0.25">
      <c r="A4" s="8" t="s">
        <v>43</v>
      </c>
      <c r="B4" s="9">
        <v>23235</v>
      </c>
      <c r="C4" s="10">
        <f>IF(B4&gt;=$E$4,$F$4,$G$4)</f>
        <v>0.05</v>
      </c>
      <c r="E4" s="11">
        <v>20000</v>
      </c>
      <c r="F4" s="18">
        <v>0.05</v>
      </c>
      <c r="G4" s="18">
        <v>0.01</v>
      </c>
      <c r="I4" s="6" t="s">
        <v>6</v>
      </c>
    </row>
    <row r="5" spans="1:12" x14ac:dyDescent="0.25">
      <c r="A5" s="8" t="s">
        <v>44</v>
      </c>
      <c r="B5" s="9">
        <v>34254</v>
      </c>
      <c r="C5" s="10">
        <f t="shared" ref="C5:C11" si="0">IF(B5&gt;$E$4,$F$4,$G$4)</f>
        <v>0.05</v>
      </c>
      <c r="I5" s="6" t="s">
        <v>7</v>
      </c>
    </row>
    <row r="6" spans="1:12" x14ac:dyDescent="0.25">
      <c r="A6" s="8" t="s">
        <v>45</v>
      </c>
      <c r="B6" s="9">
        <v>86543</v>
      </c>
      <c r="C6" s="10">
        <f t="shared" si="0"/>
        <v>0.05</v>
      </c>
      <c r="J6" s="5"/>
    </row>
    <row r="7" spans="1:12" x14ac:dyDescent="0.25">
      <c r="A7" s="8" t="s">
        <v>46</v>
      </c>
      <c r="B7" s="9">
        <v>12123</v>
      </c>
      <c r="C7" s="10">
        <f t="shared" si="0"/>
        <v>0.01</v>
      </c>
    </row>
    <row r="8" spans="1:12" x14ac:dyDescent="0.25">
      <c r="A8" s="8" t="s">
        <v>47</v>
      </c>
      <c r="B8" s="9">
        <v>45453</v>
      </c>
      <c r="C8" s="10">
        <f t="shared" si="0"/>
        <v>0.05</v>
      </c>
    </row>
    <row r="9" spans="1:12" x14ac:dyDescent="0.25">
      <c r="A9" s="12" t="s">
        <v>48</v>
      </c>
      <c r="B9" s="9">
        <v>56443</v>
      </c>
      <c r="C9" s="10">
        <f t="shared" si="0"/>
        <v>0.05</v>
      </c>
    </row>
    <row r="10" spans="1:12" x14ac:dyDescent="0.25">
      <c r="A10" s="12" t="s">
        <v>49</v>
      </c>
      <c r="B10" s="9">
        <v>11112</v>
      </c>
      <c r="C10" s="10">
        <f t="shared" si="0"/>
        <v>0.01</v>
      </c>
    </row>
    <row r="11" spans="1:12" x14ac:dyDescent="0.25">
      <c r="A11" s="12" t="s">
        <v>50</v>
      </c>
      <c r="B11" s="9">
        <v>11232</v>
      </c>
      <c r="C11" s="10">
        <f t="shared" si="0"/>
        <v>0.01</v>
      </c>
    </row>
    <row r="13" spans="1:12" ht="28.5" x14ac:dyDescent="0.45">
      <c r="A13" s="19" t="s">
        <v>10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</row>
    <row r="15" spans="1:12" ht="30" x14ac:dyDescent="0.25">
      <c r="A15" s="7" t="s">
        <v>0</v>
      </c>
      <c r="B15" s="1" t="s">
        <v>1</v>
      </c>
      <c r="C15" s="7" t="s">
        <v>40</v>
      </c>
    </row>
    <row r="16" spans="1:12" x14ac:dyDescent="0.25">
      <c r="A16" s="8" t="s">
        <v>43</v>
      </c>
      <c r="B16" s="9">
        <v>23235</v>
      </c>
      <c r="C16" s="10">
        <f t="shared" ref="C16:C23" si="1">IF(B16&gt;=$E$24,$F$24,IF(B16&gt;=$E$23,$F$23,IF(B16&gt;=$E$22,$F$22,IF(B16&gt;=$E$21,$F$21,IF(B16&gt;=$E$20,$F$20,IF(B16&gt;=$E$19,$F$19,$F$18))))))</f>
        <v>0.02</v>
      </c>
    </row>
    <row r="17" spans="1:9" x14ac:dyDescent="0.25">
      <c r="A17" s="8" t="s">
        <v>44</v>
      </c>
      <c r="B17" s="9">
        <v>34254</v>
      </c>
      <c r="C17" s="10">
        <f t="shared" si="1"/>
        <v>0.04</v>
      </c>
      <c r="E17" s="2" t="s">
        <v>1</v>
      </c>
      <c r="F17" s="3" t="s">
        <v>41</v>
      </c>
      <c r="G17"/>
      <c r="I17" s="6" t="s">
        <v>12</v>
      </c>
    </row>
    <row r="18" spans="1:9" x14ac:dyDescent="0.25">
      <c r="A18" s="8" t="s">
        <v>45</v>
      </c>
      <c r="B18" s="9">
        <v>86543</v>
      </c>
      <c r="C18" s="10">
        <f t="shared" si="1"/>
        <v>7.4999999999999997E-2</v>
      </c>
      <c r="E18" s="11">
        <v>0</v>
      </c>
      <c r="F18" s="18">
        <v>0</v>
      </c>
      <c r="G18"/>
      <c r="I18" s="6" t="str">
        <f>"If you have sales of less than "&amp;DOLLAR(E19,0)&amp;" you get "&amp;TEXT(F18,"0.00%")&amp;" commission, "</f>
        <v xml:space="preserve">If you have sales of less than $10,000 you get 0.00% commission, </v>
      </c>
    </row>
    <row r="19" spans="1:9" x14ac:dyDescent="0.25">
      <c r="A19" s="8" t="s">
        <v>46</v>
      </c>
      <c r="B19" s="9">
        <v>12123</v>
      </c>
      <c r="C19" s="10">
        <f t="shared" si="1"/>
        <v>0.01</v>
      </c>
      <c r="E19" s="11">
        <v>10000</v>
      </c>
      <c r="F19" s="18">
        <v>0.01</v>
      </c>
      <c r="G19"/>
      <c r="I19" s="6" t="str">
        <f t="shared" ref="I19:I24" si="2">"If you have sales of "&amp;DOLLAR(E19,0)&amp;" or more you get "&amp;TEXT(F19,"0.00%")&amp;" commission, "</f>
        <v xml:space="preserve">If you have sales of $10,000 or more you get 1.00% commission, </v>
      </c>
    </row>
    <row r="20" spans="1:9" x14ac:dyDescent="0.25">
      <c r="A20" s="8" t="s">
        <v>47</v>
      </c>
      <c r="B20" s="9">
        <v>45453</v>
      </c>
      <c r="C20" s="10">
        <f t="shared" si="1"/>
        <v>0.05</v>
      </c>
      <c r="E20" s="11">
        <v>20000</v>
      </c>
      <c r="F20" s="18">
        <v>0.02</v>
      </c>
      <c r="I20" s="6" t="str">
        <f t="shared" si="2"/>
        <v xml:space="preserve">If you have sales of $20,000 or more you get 2.00% commission, </v>
      </c>
    </row>
    <row r="21" spans="1:9" x14ac:dyDescent="0.25">
      <c r="A21" s="12" t="s">
        <v>48</v>
      </c>
      <c r="B21" s="9">
        <v>56443</v>
      </c>
      <c r="C21" s="10">
        <f t="shared" si="1"/>
        <v>0.06</v>
      </c>
      <c r="E21" s="11">
        <v>30000</v>
      </c>
      <c r="F21" s="18">
        <v>0.04</v>
      </c>
      <c r="I21" s="6" t="str">
        <f t="shared" si="2"/>
        <v xml:space="preserve">If you have sales of $30,000 or more you get 4.00% commission, </v>
      </c>
    </row>
    <row r="22" spans="1:9" x14ac:dyDescent="0.25">
      <c r="A22" s="12" t="s">
        <v>49</v>
      </c>
      <c r="B22" s="9">
        <v>11112</v>
      </c>
      <c r="C22" s="10">
        <f t="shared" si="1"/>
        <v>0.01</v>
      </c>
      <c r="E22" s="11">
        <v>40000</v>
      </c>
      <c r="F22" s="18">
        <v>0.05</v>
      </c>
      <c r="I22" s="6" t="str">
        <f t="shared" si="2"/>
        <v xml:space="preserve">If you have sales of $40,000 or more you get 5.00% commission, </v>
      </c>
    </row>
    <row r="23" spans="1:9" x14ac:dyDescent="0.25">
      <c r="A23" s="12" t="s">
        <v>50</v>
      </c>
      <c r="B23" s="9">
        <v>11232</v>
      </c>
      <c r="C23" s="10">
        <f t="shared" si="1"/>
        <v>0.01</v>
      </c>
      <c r="E23" s="11">
        <v>50000</v>
      </c>
      <c r="F23" s="18">
        <v>0.06</v>
      </c>
      <c r="I23" s="6" t="str">
        <f t="shared" si="2"/>
        <v xml:space="preserve">If you have sales of $50,000 or more you get 6.00% commission, </v>
      </c>
    </row>
    <row r="24" spans="1:9" x14ac:dyDescent="0.25">
      <c r="E24" s="11">
        <v>60000</v>
      </c>
      <c r="F24" s="18">
        <v>7.4999999999999997E-2</v>
      </c>
      <c r="I24" s="6" t="str">
        <f t="shared" si="2"/>
        <v xml:space="preserve">If you have sales of $60,000 or more you get 7.50% commission, </v>
      </c>
    </row>
    <row r="26" spans="1:9" x14ac:dyDescent="0.25">
      <c r="I26" s="5"/>
    </row>
    <row r="27" spans="1:9" x14ac:dyDescent="0.25">
      <c r="A27" s="21" t="s">
        <v>42</v>
      </c>
      <c r="B27" s="21"/>
      <c r="C27" s="21"/>
      <c r="D27" s="21"/>
      <c r="E27" s="21"/>
      <c r="F27" s="21"/>
      <c r="G27"/>
      <c r="I27" s="5"/>
    </row>
    <row r="29" spans="1:9" ht="30" x14ac:dyDescent="0.25">
      <c r="A29" s="7" t="s">
        <v>0</v>
      </c>
      <c r="B29" s="1" t="s">
        <v>1</v>
      </c>
      <c r="C29" s="7" t="s">
        <v>40</v>
      </c>
    </row>
    <row r="30" spans="1:9" x14ac:dyDescent="0.25">
      <c r="A30" s="8" t="s">
        <v>43</v>
      </c>
      <c r="B30" s="9">
        <v>23235</v>
      </c>
      <c r="C30" s="10">
        <f>VLOOKUP(B30,$E$32:$F$38,2,1)</f>
        <v>0.02</v>
      </c>
    </row>
    <row r="31" spans="1:9" x14ac:dyDescent="0.25">
      <c r="A31" s="8" t="s">
        <v>44</v>
      </c>
      <c r="B31" s="9">
        <v>34254</v>
      </c>
      <c r="C31" s="10">
        <f t="shared" ref="C31:C37" si="3">VLOOKUP(B31,$E$32:$F$38,2,1)</f>
        <v>0.04</v>
      </c>
      <c r="E31" s="2" t="s">
        <v>1</v>
      </c>
      <c r="F31" s="3" t="s">
        <v>41</v>
      </c>
      <c r="G31"/>
      <c r="I31" s="6" t="s">
        <v>12</v>
      </c>
    </row>
    <row r="32" spans="1:9" x14ac:dyDescent="0.25">
      <c r="A32" s="8" t="s">
        <v>45</v>
      </c>
      <c r="B32" s="9">
        <v>86543</v>
      </c>
      <c r="C32" s="10">
        <f t="shared" si="3"/>
        <v>7.4999999999999997E-2</v>
      </c>
      <c r="E32" s="11">
        <v>0</v>
      </c>
      <c r="F32" s="18">
        <v>0</v>
      </c>
      <c r="G32"/>
      <c r="I32" s="6" t="str">
        <f>"If you have sales of less than "&amp;DOLLAR(E33,0)&amp;" you get "&amp;TEXT(F32,"0.00%")&amp;" commission, "</f>
        <v xml:space="preserve">If you have sales of less than $10,000 you get 0.00% commission, </v>
      </c>
    </row>
    <row r="33" spans="1:32" x14ac:dyDescent="0.25">
      <c r="A33" s="8" t="s">
        <v>46</v>
      </c>
      <c r="B33" s="9">
        <v>12123</v>
      </c>
      <c r="C33" s="10">
        <f t="shared" si="3"/>
        <v>0.01</v>
      </c>
      <c r="E33" s="11">
        <v>10000</v>
      </c>
      <c r="F33" s="18">
        <v>0.01</v>
      </c>
      <c r="G33"/>
      <c r="I33" s="6" t="str">
        <f t="shared" ref="I33:I38" si="4">"If you have sales of "&amp;DOLLAR(E33,0)&amp;" or more you get "&amp;TEXT(F33,"0.00%")&amp;" commission, "</f>
        <v xml:space="preserve">If you have sales of $10,000 or more you get 1.00% commission, </v>
      </c>
    </row>
    <row r="34" spans="1:32" x14ac:dyDescent="0.25">
      <c r="A34" s="8" t="s">
        <v>47</v>
      </c>
      <c r="B34" s="9">
        <v>45453</v>
      </c>
      <c r="C34" s="10">
        <f t="shared" si="3"/>
        <v>0.05</v>
      </c>
      <c r="E34" s="11">
        <v>20000</v>
      </c>
      <c r="F34" s="18">
        <v>0.02</v>
      </c>
      <c r="I34" s="6" t="str">
        <f t="shared" si="4"/>
        <v xml:space="preserve">If you have sales of $20,000 or more you get 2.00% commission, </v>
      </c>
    </row>
    <row r="35" spans="1:32" x14ac:dyDescent="0.25">
      <c r="A35" s="12" t="s">
        <v>48</v>
      </c>
      <c r="B35" s="9">
        <v>56443</v>
      </c>
      <c r="C35" s="10">
        <f t="shared" si="3"/>
        <v>0.06</v>
      </c>
      <c r="E35" s="11">
        <v>30000</v>
      </c>
      <c r="F35" s="18">
        <v>0.04</v>
      </c>
      <c r="I35" s="6" t="str">
        <f t="shared" si="4"/>
        <v xml:space="preserve">If you have sales of $30,000 or more you get 4.00% commission, </v>
      </c>
    </row>
    <row r="36" spans="1:32" x14ac:dyDescent="0.25">
      <c r="A36" s="12" t="s">
        <v>49</v>
      </c>
      <c r="B36" s="9">
        <v>11112</v>
      </c>
      <c r="C36" s="10">
        <f t="shared" si="3"/>
        <v>0.01</v>
      </c>
      <c r="E36" s="11">
        <v>40000</v>
      </c>
      <c r="F36" s="18">
        <v>0.05</v>
      </c>
      <c r="I36" s="6" t="str">
        <f t="shared" si="4"/>
        <v xml:space="preserve">If you have sales of $40,000 or more you get 5.00% commission, </v>
      </c>
    </row>
    <row r="37" spans="1:32" x14ac:dyDescent="0.25">
      <c r="A37" s="12" t="s">
        <v>50</v>
      </c>
      <c r="B37" s="9">
        <v>11232</v>
      </c>
      <c r="C37" s="10">
        <f t="shared" si="3"/>
        <v>0.01</v>
      </c>
      <c r="E37" s="11">
        <v>50000</v>
      </c>
      <c r="F37" s="18">
        <v>0.06</v>
      </c>
      <c r="I37" s="6" t="str">
        <f t="shared" si="4"/>
        <v xml:space="preserve">If you have sales of $50,000 or more you get 6.00% commission, </v>
      </c>
    </row>
    <row r="38" spans="1:32" x14ac:dyDescent="0.25">
      <c r="E38" s="11">
        <v>60000</v>
      </c>
      <c r="F38" s="18">
        <v>7.4999999999999997E-2</v>
      </c>
      <c r="I38" s="6" t="str">
        <f t="shared" si="4"/>
        <v xml:space="preserve">If you have sales of $60,000 or more you get 7.50% commission, </v>
      </c>
    </row>
    <row r="40" spans="1:32" x14ac:dyDescent="0.25">
      <c r="I40" s="5"/>
    </row>
    <row r="43" spans="1:32" ht="28.5" x14ac:dyDescent="0.45">
      <c r="A43" s="19" t="s">
        <v>9</v>
      </c>
      <c r="B43" s="20"/>
      <c r="C43" s="20"/>
      <c r="D43" s="20"/>
      <c r="E43" s="20"/>
      <c r="F43" s="20"/>
      <c r="G43" s="22"/>
      <c r="H43" s="22"/>
      <c r="I43" s="22"/>
      <c r="J43" s="22"/>
      <c r="K43" s="19" t="s">
        <v>57</v>
      </c>
      <c r="L43" s="20"/>
      <c r="M43" s="20"/>
      <c r="N43" s="20"/>
      <c r="O43" s="20"/>
      <c r="P43" s="20"/>
      <c r="Q43" s="23"/>
      <c r="R43" s="23"/>
      <c r="S43" s="23"/>
      <c r="T43" s="23"/>
      <c r="U43" s="19" t="s">
        <v>58</v>
      </c>
      <c r="V43" s="20"/>
      <c r="W43" s="20"/>
      <c r="X43" s="20"/>
      <c r="Y43" s="20"/>
      <c r="Z43" s="20"/>
      <c r="AA43" s="23"/>
      <c r="AB43" s="23"/>
      <c r="AC43" s="23"/>
      <c r="AD43" s="23"/>
      <c r="AE43" s="23"/>
      <c r="AF43" s="23"/>
    </row>
    <row r="46" spans="1:32" x14ac:dyDescent="0.25">
      <c r="A46" s="13" t="s">
        <v>13</v>
      </c>
      <c r="B46" s="13" t="s">
        <v>14</v>
      </c>
      <c r="C46" s="13" t="s">
        <v>15</v>
      </c>
      <c r="D46" s="13" t="s">
        <v>16</v>
      </c>
      <c r="E46" s="13" t="s">
        <v>1</v>
      </c>
      <c r="F46" s="13" t="s">
        <v>8</v>
      </c>
      <c r="G46"/>
      <c r="H46" t="s">
        <v>33</v>
      </c>
      <c r="K46" s="13" t="s">
        <v>13</v>
      </c>
      <c r="L46" s="13" t="s">
        <v>14</v>
      </c>
      <c r="M46" s="13" t="s">
        <v>15</v>
      </c>
      <c r="N46" s="13" t="s">
        <v>16</v>
      </c>
      <c r="O46" s="13" t="s">
        <v>1</v>
      </c>
      <c r="P46" s="13" t="s">
        <v>8</v>
      </c>
      <c r="R46" s="17" t="s">
        <v>1</v>
      </c>
      <c r="S46" s="17" t="s">
        <v>34</v>
      </c>
      <c r="U46" s="13" t="s">
        <v>13</v>
      </c>
      <c r="V46" s="13" t="s">
        <v>14</v>
      </c>
      <c r="W46" s="13" t="s">
        <v>15</v>
      </c>
      <c r="X46" s="13" t="s">
        <v>16</v>
      </c>
      <c r="Y46" s="13" t="s">
        <v>1</v>
      </c>
      <c r="Z46" s="13" t="s">
        <v>8</v>
      </c>
      <c r="AB46" s="17" t="s">
        <v>1</v>
      </c>
      <c r="AC46" s="17" t="s">
        <v>34</v>
      </c>
    </row>
    <row r="47" spans="1:32" x14ac:dyDescent="0.25">
      <c r="A47" s="14">
        <v>43450</v>
      </c>
      <c r="B47" s="4" t="s">
        <v>51</v>
      </c>
      <c r="C47" s="4" t="s">
        <v>17</v>
      </c>
      <c r="D47" s="4">
        <v>36</v>
      </c>
      <c r="E47" s="4">
        <v>263.52</v>
      </c>
      <c r="F47" s="15" t="str">
        <f t="shared" ref="F47:F70" si="5">IF(E47&gt;=$H$49,"Large","Small")</f>
        <v>Large</v>
      </c>
      <c r="G47"/>
      <c r="K47" s="14">
        <v>43450</v>
      </c>
      <c r="L47" s="4" t="s">
        <v>51</v>
      </c>
      <c r="M47" s="4" t="s">
        <v>17</v>
      </c>
      <c r="N47" s="4">
        <v>36</v>
      </c>
      <c r="O47" s="4">
        <v>263.52</v>
      </c>
      <c r="P47" s="15" t="str">
        <f t="shared" ref="P47:P70" si="6">IF(O47&gt;=$R$51,$S$51,IF(O47&gt;=$R$50,$S$50,IF(O47&gt;=$R$49,$S$49,IF(O47&gt;=$R$48,$S$48,$S$47))))</f>
        <v>Average</v>
      </c>
      <c r="R47" s="4">
        <v>0</v>
      </c>
      <c r="S47" s="11" t="s">
        <v>35</v>
      </c>
      <c r="U47" s="14">
        <v>43450</v>
      </c>
      <c r="V47" s="4" t="s">
        <v>51</v>
      </c>
      <c r="W47" s="4" t="s">
        <v>17</v>
      </c>
      <c r="X47" s="4">
        <v>36</v>
      </c>
      <c r="Y47" s="4">
        <v>263.52</v>
      </c>
      <c r="Z47" s="15" t="str">
        <f>VLOOKUP(Y47,$AB$47:$AC$51,2,1)</f>
        <v>Average</v>
      </c>
      <c r="AB47" s="4">
        <v>0</v>
      </c>
      <c r="AC47" s="11" t="s">
        <v>35</v>
      </c>
    </row>
    <row r="48" spans="1:32" x14ac:dyDescent="0.25">
      <c r="A48" s="14">
        <v>43118</v>
      </c>
      <c r="B48" s="4" t="s">
        <v>52</v>
      </c>
      <c r="C48" s="4" t="s">
        <v>18</v>
      </c>
      <c r="D48" s="4">
        <v>2</v>
      </c>
      <c r="E48" s="4">
        <v>32.78</v>
      </c>
      <c r="F48" s="15" t="str">
        <f t="shared" si="5"/>
        <v>Small</v>
      </c>
      <c r="G48"/>
      <c r="H48" s="2" t="s">
        <v>3</v>
      </c>
      <c r="K48" s="14">
        <v>43118</v>
      </c>
      <c r="L48" s="4" t="s">
        <v>52</v>
      </c>
      <c r="M48" s="4" t="s">
        <v>18</v>
      </c>
      <c r="N48" s="4">
        <v>2</v>
      </c>
      <c r="O48" s="4">
        <v>32.78</v>
      </c>
      <c r="P48" s="15" t="str">
        <f t="shared" si="6"/>
        <v>Below Par</v>
      </c>
      <c r="R48" s="4">
        <v>100</v>
      </c>
      <c r="S48" s="11" t="s">
        <v>36</v>
      </c>
      <c r="U48" s="14">
        <v>43118</v>
      </c>
      <c r="V48" s="4" t="s">
        <v>52</v>
      </c>
      <c r="W48" s="4" t="s">
        <v>18</v>
      </c>
      <c r="X48" s="4">
        <v>2</v>
      </c>
      <c r="Y48" s="4">
        <v>32.78</v>
      </c>
      <c r="Z48" s="15" t="str">
        <f t="shared" ref="Z48:Z70" si="7">VLOOKUP(Y48,$AB$47:$AC$51,2,1)</f>
        <v>Below Par</v>
      </c>
      <c r="AB48" s="4">
        <v>100</v>
      </c>
      <c r="AC48" s="11" t="s">
        <v>36</v>
      </c>
    </row>
    <row r="49" spans="1:29" x14ac:dyDescent="0.25">
      <c r="A49" s="14">
        <v>43144</v>
      </c>
      <c r="B49" s="4" t="s">
        <v>53</v>
      </c>
      <c r="C49" s="4" t="s">
        <v>19</v>
      </c>
      <c r="D49" s="4">
        <v>2</v>
      </c>
      <c r="E49" s="4">
        <v>37.82</v>
      </c>
      <c r="F49" s="15" t="str">
        <f t="shared" si="5"/>
        <v>Small</v>
      </c>
      <c r="G49"/>
      <c r="H49" s="4">
        <v>250</v>
      </c>
      <c r="K49" s="14">
        <v>43144</v>
      </c>
      <c r="L49" s="4" t="s">
        <v>53</v>
      </c>
      <c r="M49" s="4" t="s">
        <v>19</v>
      </c>
      <c r="N49" s="4">
        <v>2</v>
      </c>
      <c r="O49" s="4">
        <v>37.82</v>
      </c>
      <c r="P49" s="15" t="str">
        <f t="shared" si="6"/>
        <v>Below Par</v>
      </c>
      <c r="R49" s="4">
        <v>250</v>
      </c>
      <c r="S49" s="16" t="s">
        <v>37</v>
      </c>
      <c r="U49" s="14">
        <v>43144</v>
      </c>
      <c r="V49" s="4" t="s">
        <v>53</v>
      </c>
      <c r="W49" s="4" t="s">
        <v>19</v>
      </c>
      <c r="X49" s="4">
        <v>2</v>
      </c>
      <c r="Y49" s="4">
        <v>37.82</v>
      </c>
      <c r="Z49" s="15" t="str">
        <f t="shared" si="7"/>
        <v>Below Par</v>
      </c>
      <c r="AB49" s="4">
        <v>250</v>
      </c>
      <c r="AC49" s="16" t="s">
        <v>37</v>
      </c>
    </row>
    <row r="50" spans="1:29" x14ac:dyDescent="0.25">
      <c r="A50" s="14">
        <v>43424</v>
      </c>
      <c r="B50" s="4" t="s">
        <v>54</v>
      </c>
      <c r="C50" s="4" t="s">
        <v>20</v>
      </c>
      <c r="D50" s="4">
        <v>2</v>
      </c>
      <c r="E50" s="4">
        <v>38.4</v>
      </c>
      <c r="F50" s="15" t="str">
        <f t="shared" si="5"/>
        <v>Small</v>
      </c>
      <c r="G50"/>
      <c r="H50"/>
      <c r="K50" s="14">
        <v>43424</v>
      </c>
      <c r="L50" s="4" t="s">
        <v>54</v>
      </c>
      <c r="M50" s="4" t="s">
        <v>20</v>
      </c>
      <c r="N50" s="4">
        <v>2</v>
      </c>
      <c r="O50" s="4">
        <v>38.4</v>
      </c>
      <c r="P50" s="15" t="str">
        <f t="shared" si="6"/>
        <v>Below Par</v>
      </c>
      <c r="R50" s="4">
        <v>500</v>
      </c>
      <c r="S50" s="16" t="s">
        <v>38</v>
      </c>
      <c r="U50" s="14">
        <v>43424</v>
      </c>
      <c r="V50" s="4" t="s">
        <v>54</v>
      </c>
      <c r="W50" s="4" t="s">
        <v>20</v>
      </c>
      <c r="X50" s="4">
        <v>2</v>
      </c>
      <c r="Y50" s="4">
        <v>38.4</v>
      </c>
      <c r="Z50" s="15" t="str">
        <f t="shared" si="7"/>
        <v>Below Par</v>
      </c>
      <c r="AB50" s="4">
        <v>500</v>
      </c>
      <c r="AC50" s="16" t="s">
        <v>38</v>
      </c>
    </row>
    <row r="51" spans="1:29" x14ac:dyDescent="0.25">
      <c r="A51" s="14">
        <v>43422</v>
      </c>
      <c r="B51" s="4" t="s">
        <v>55</v>
      </c>
      <c r="C51" s="4" t="s">
        <v>22</v>
      </c>
      <c r="D51" s="4">
        <v>2</v>
      </c>
      <c r="E51" s="4">
        <v>32.5</v>
      </c>
      <c r="F51" s="15" t="str">
        <f t="shared" si="5"/>
        <v>Small</v>
      </c>
      <c r="G51"/>
      <c r="H51"/>
      <c r="K51" s="14">
        <v>43422</v>
      </c>
      <c r="L51" s="4" t="s">
        <v>55</v>
      </c>
      <c r="M51" s="4" t="s">
        <v>22</v>
      </c>
      <c r="N51" s="4">
        <v>2</v>
      </c>
      <c r="O51" s="4">
        <v>32.5</v>
      </c>
      <c r="P51" s="15" t="str">
        <f t="shared" si="6"/>
        <v>Below Par</v>
      </c>
      <c r="R51" s="4">
        <v>600</v>
      </c>
      <c r="S51" s="16" t="s">
        <v>39</v>
      </c>
      <c r="U51" s="14">
        <v>43422</v>
      </c>
      <c r="V51" s="4" t="s">
        <v>55</v>
      </c>
      <c r="W51" s="4" t="s">
        <v>22</v>
      </c>
      <c r="X51" s="4">
        <v>2</v>
      </c>
      <c r="Y51" s="4">
        <v>32.5</v>
      </c>
      <c r="Z51" s="15" t="str">
        <f t="shared" si="7"/>
        <v>Below Par</v>
      </c>
      <c r="AB51" s="4">
        <v>600</v>
      </c>
      <c r="AC51" s="16" t="s">
        <v>39</v>
      </c>
    </row>
    <row r="52" spans="1:29" x14ac:dyDescent="0.25">
      <c r="A52" s="14">
        <v>43452</v>
      </c>
      <c r="B52" s="4" t="s">
        <v>56</v>
      </c>
      <c r="C52" s="4" t="s">
        <v>17</v>
      </c>
      <c r="D52" s="4">
        <v>1</v>
      </c>
      <c r="E52" s="4">
        <v>10.59</v>
      </c>
      <c r="F52" s="15" t="str">
        <f t="shared" si="5"/>
        <v>Small</v>
      </c>
      <c r="G52"/>
      <c r="K52" s="14">
        <v>43452</v>
      </c>
      <c r="L52" s="4" t="s">
        <v>56</v>
      </c>
      <c r="M52" s="4" t="s">
        <v>17</v>
      </c>
      <c r="N52" s="4">
        <v>1</v>
      </c>
      <c r="O52" s="4">
        <v>10.59</v>
      </c>
      <c r="P52" s="15" t="str">
        <f t="shared" si="6"/>
        <v>Below Par</v>
      </c>
      <c r="U52" s="14">
        <v>43452</v>
      </c>
      <c r="V52" s="4" t="s">
        <v>56</v>
      </c>
      <c r="W52" s="4" t="s">
        <v>17</v>
      </c>
      <c r="X52" s="4">
        <v>1</v>
      </c>
      <c r="Y52" s="4">
        <v>10.59</v>
      </c>
      <c r="Z52" s="15" t="str">
        <f t="shared" si="7"/>
        <v>Below Par</v>
      </c>
    </row>
    <row r="53" spans="1:29" x14ac:dyDescent="0.25">
      <c r="A53" s="14">
        <v>43206</v>
      </c>
      <c r="B53" s="4" t="s">
        <v>51</v>
      </c>
      <c r="C53" s="4" t="s">
        <v>24</v>
      </c>
      <c r="D53" s="4">
        <v>4</v>
      </c>
      <c r="E53" s="4">
        <v>55</v>
      </c>
      <c r="F53" s="15" t="str">
        <f t="shared" si="5"/>
        <v>Small</v>
      </c>
      <c r="G53"/>
      <c r="K53" s="14">
        <v>43206</v>
      </c>
      <c r="L53" s="4" t="s">
        <v>51</v>
      </c>
      <c r="M53" s="4" t="s">
        <v>24</v>
      </c>
      <c r="N53" s="4">
        <v>4</v>
      </c>
      <c r="O53" s="4">
        <v>55</v>
      </c>
      <c r="P53" s="15" t="str">
        <f t="shared" si="6"/>
        <v>Below Par</v>
      </c>
      <c r="R53"/>
      <c r="U53" s="14">
        <v>43206</v>
      </c>
      <c r="V53" s="4" t="s">
        <v>51</v>
      </c>
      <c r="W53" s="4" t="s">
        <v>24</v>
      </c>
      <c r="X53" s="4">
        <v>4</v>
      </c>
      <c r="Y53" s="4">
        <v>55</v>
      </c>
      <c r="Z53" s="15" t="str">
        <f t="shared" si="7"/>
        <v>Below Par</v>
      </c>
      <c r="AB53"/>
    </row>
    <row r="54" spans="1:29" x14ac:dyDescent="0.25">
      <c r="A54" s="14">
        <v>43232</v>
      </c>
      <c r="B54" s="4" t="s">
        <v>52</v>
      </c>
      <c r="C54" s="4" t="s">
        <v>17</v>
      </c>
      <c r="D54" s="4">
        <v>3</v>
      </c>
      <c r="E54" s="4">
        <v>38.340000000000003</v>
      </c>
      <c r="F54" s="15" t="str">
        <f t="shared" si="5"/>
        <v>Small</v>
      </c>
      <c r="G54"/>
      <c r="H54"/>
      <c r="K54" s="14">
        <v>43232</v>
      </c>
      <c r="L54" s="4" t="s">
        <v>52</v>
      </c>
      <c r="M54" s="4" t="s">
        <v>17</v>
      </c>
      <c r="N54" s="4">
        <v>3</v>
      </c>
      <c r="O54" s="4">
        <v>38.340000000000003</v>
      </c>
      <c r="P54" s="15" t="str">
        <f t="shared" si="6"/>
        <v>Below Par</v>
      </c>
      <c r="R54"/>
      <c r="U54" s="14">
        <v>43232</v>
      </c>
      <c r="V54" s="4" t="s">
        <v>52</v>
      </c>
      <c r="W54" s="4" t="s">
        <v>17</v>
      </c>
      <c r="X54" s="4">
        <v>3</v>
      </c>
      <c r="Y54" s="4">
        <v>38.340000000000003</v>
      </c>
      <c r="Z54" s="15" t="str">
        <f t="shared" si="7"/>
        <v>Below Par</v>
      </c>
      <c r="AB54"/>
    </row>
    <row r="55" spans="1:29" x14ac:dyDescent="0.25">
      <c r="A55" s="14">
        <v>43432</v>
      </c>
      <c r="B55" s="4" t="s">
        <v>53</v>
      </c>
      <c r="C55" s="4" t="s">
        <v>17</v>
      </c>
      <c r="D55" s="4">
        <v>2</v>
      </c>
      <c r="E55" s="4">
        <v>23.62</v>
      </c>
      <c r="F55" s="15" t="str">
        <f t="shared" si="5"/>
        <v>Small</v>
      </c>
      <c r="G55"/>
      <c r="H55"/>
      <c r="K55" s="14">
        <v>43432</v>
      </c>
      <c r="L55" s="4" t="s">
        <v>53</v>
      </c>
      <c r="M55" s="4" t="s">
        <v>17</v>
      </c>
      <c r="N55" s="4">
        <v>2</v>
      </c>
      <c r="O55" s="4">
        <v>23.62</v>
      </c>
      <c r="P55" s="15" t="str">
        <f t="shared" si="6"/>
        <v>Below Par</v>
      </c>
      <c r="R55"/>
      <c r="U55" s="14">
        <v>43432</v>
      </c>
      <c r="V55" s="4" t="s">
        <v>53</v>
      </c>
      <c r="W55" s="4" t="s">
        <v>17</v>
      </c>
      <c r="X55" s="4">
        <v>2</v>
      </c>
      <c r="Y55" s="4">
        <v>23.62</v>
      </c>
      <c r="Z55" s="15" t="str">
        <f t="shared" si="7"/>
        <v>Below Par</v>
      </c>
      <c r="AB55"/>
    </row>
    <row r="56" spans="1:29" x14ac:dyDescent="0.25">
      <c r="A56" s="14">
        <v>43267</v>
      </c>
      <c r="B56" s="4" t="s">
        <v>54</v>
      </c>
      <c r="C56" s="4" t="s">
        <v>25</v>
      </c>
      <c r="D56" s="4">
        <v>2</v>
      </c>
      <c r="E56" s="4">
        <v>39.76</v>
      </c>
      <c r="F56" s="15" t="str">
        <f t="shared" si="5"/>
        <v>Small</v>
      </c>
      <c r="G56"/>
      <c r="H56"/>
      <c r="K56" s="14">
        <v>43267</v>
      </c>
      <c r="L56" s="4" t="s">
        <v>54</v>
      </c>
      <c r="M56" s="4" t="s">
        <v>25</v>
      </c>
      <c r="N56" s="4">
        <v>2</v>
      </c>
      <c r="O56" s="4">
        <v>39.76</v>
      </c>
      <c r="P56" s="15" t="str">
        <f t="shared" si="6"/>
        <v>Below Par</v>
      </c>
      <c r="R56"/>
      <c r="U56" s="14">
        <v>43267</v>
      </c>
      <c r="V56" s="4" t="s">
        <v>54</v>
      </c>
      <c r="W56" s="4" t="s">
        <v>25</v>
      </c>
      <c r="X56" s="4">
        <v>2</v>
      </c>
      <c r="Y56" s="4">
        <v>39.76</v>
      </c>
      <c r="Z56" s="15" t="str">
        <f t="shared" si="7"/>
        <v>Below Par</v>
      </c>
      <c r="AB56"/>
    </row>
    <row r="57" spans="1:29" x14ac:dyDescent="0.25">
      <c r="A57" s="14">
        <v>43196</v>
      </c>
      <c r="B57" s="4" t="s">
        <v>55</v>
      </c>
      <c r="C57" s="4" t="s">
        <v>18</v>
      </c>
      <c r="D57" s="4">
        <v>4</v>
      </c>
      <c r="E57" s="4">
        <v>71.040000000000006</v>
      </c>
      <c r="F57" s="15" t="str">
        <f t="shared" si="5"/>
        <v>Small</v>
      </c>
      <c r="G57"/>
      <c r="H57"/>
      <c r="K57" s="14">
        <v>43196</v>
      </c>
      <c r="L57" s="4" t="s">
        <v>55</v>
      </c>
      <c r="M57" s="4" t="s">
        <v>18</v>
      </c>
      <c r="N57" s="4">
        <v>4</v>
      </c>
      <c r="O57" s="4">
        <v>71.040000000000006</v>
      </c>
      <c r="P57" s="15" t="str">
        <f t="shared" si="6"/>
        <v>Below Par</v>
      </c>
      <c r="R57"/>
      <c r="U57" s="14">
        <v>43196</v>
      </c>
      <c r="V57" s="4" t="s">
        <v>55</v>
      </c>
      <c r="W57" s="4" t="s">
        <v>18</v>
      </c>
      <c r="X57" s="4">
        <v>4</v>
      </c>
      <c r="Y57" s="4">
        <v>71.040000000000006</v>
      </c>
      <c r="Z57" s="15" t="str">
        <f t="shared" si="7"/>
        <v>Below Par</v>
      </c>
      <c r="AB57"/>
    </row>
    <row r="58" spans="1:29" x14ac:dyDescent="0.25">
      <c r="A58" s="14">
        <v>43418</v>
      </c>
      <c r="B58" s="4" t="s">
        <v>56</v>
      </c>
      <c r="C58" s="4" t="s">
        <v>19</v>
      </c>
      <c r="D58" s="4">
        <v>2</v>
      </c>
      <c r="E58" s="4">
        <v>34.28</v>
      </c>
      <c r="F58" s="15" t="str">
        <f t="shared" si="5"/>
        <v>Small</v>
      </c>
      <c r="G58"/>
      <c r="H58"/>
      <c r="K58" s="14">
        <v>43418</v>
      </c>
      <c r="L58" s="4" t="s">
        <v>56</v>
      </c>
      <c r="M58" s="4" t="s">
        <v>19</v>
      </c>
      <c r="N58" s="4">
        <v>2</v>
      </c>
      <c r="O58" s="4">
        <v>34.28</v>
      </c>
      <c r="P58" s="15" t="str">
        <f t="shared" si="6"/>
        <v>Below Par</v>
      </c>
      <c r="R58"/>
      <c r="U58" s="14">
        <v>43418</v>
      </c>
      <c r="V58" s="4" t="s">
        <v>56</v>
      </c>
      <c r="W58" s="4" t="s">
        <v>19</v>
      </c>
      <c r="X58" s="4">
        <v>2</v>
      </c>
      <c r="Y58" s="4">
        <v>34.28</v>
      </c>
      <c r="Z58" s="15" t="str">
        <f t="shared" si="7"/>
        <v>Below Par</v>
      </c>
      <c r="AB58"/>
    </row>
    <row r="59" spans="1:29" x14ac:dyDescent="0.25">
      <c r="A59" s="14">
        <v>43341</v>
      </c>
      <c r="B59" s="4" t="s">
        <v>51</v>
      </c>
      <c r="C59" s="4" t="s">
        <v>28</v>
      </c>
      <c r="D59" s="4">
        <v>2</v>
      </c>
      <c r="E59" s="4">
        <v>23.12</v>
      </c>
      <c r="F59" s="15" t="str">
        <f t="shared" si="5"/>
        <v>Small</v>
      </c>
      <c r="G59"/>
      <c r="H59"/>
      <c r="K59" s="14">
        <v>43341</v>
      </c>
      <c r="L59" s="4" t="s">
        <v>51</v>
      </c>
      <c r="M59" s="4" t="s">
        <v>28</v>
      </c>
      <c r="N59" s="4">
        <v>2</v>
      </c>
      <c r="O59" s="4">
        <v>23.12</v>
      </c>
      <c r="P59" s="15" t="str">
        <f t="shared" si="6"/>
        <v>Below Par</v>
      </c>
      <c r="R59"/>
      <c r="U59" s="14">
        <v>43341</v>
      </c>
      <c r="V59" s="4" t="s">
        <v>51</v>
      </c>
      <c r="W59" s="4" t="s">
        <v>28</v>
      </c>
      <c r="X59" s="4">
        <v>2</v>
      </c>
      <c r="Y59" s="4">
        <v>23.12</v>
      </c>
      <c r="Z59" s="15" t="str">
        <f t="shared" si="7"/>
        <v>Below Par</v>
      </c>
      <c r="AB59"/>
    </row>
    <row r="60" spans="1:29" x14ac:dyDescent="0.25">
      <c r="A60" s="14">
        <v>43271</v>
      </c>
      <c r="B60" s="4" t="s">
        <v>52</v>
      </c>
      <c r="C60" s="4" t="s">
        <v>26</v>
      </c>
      <c r="D60" s="4">
        <v>3</v>
      </c>
      <c r="E60" s="4">
        <v>36.39</v>
      </c>
      <c r="F60" s="15" t="str">
        <f t="shared" si="5"/>
        <v>Small</v>
      </c>
      <c r="G60"/>
      <c r="H60"/>
      <c r="K60" s="14">
        <v>43271</v>
      </c>
      <c r="L60" s="4" t="s">
        <v>52</v>
      </c>
      <c r="M60" s="4" t="s">
        <v>26</v>
      </c>
      <c r="N60" s="4">
        <v>3</v>
      </c>
      <c r="O60" s="4">
        <v>36.39</v>
      </c>
      <c r="P60" s="15" t="str">
        <f t="shared" si="6"/>
        <v>Below Par</v>
      </c>
      <c r="R60"/>
      <c r="U60" s="14">
        <v>43271</v>
      </c>
      <c r="V60" s="4" t="s">
        <v>52</v>
      </c>
      <c r="W60" s="4" t="s">
        <v>26</v>
      </c>
      <c r="X60" s="4">
        <v>3</v>
      </c>
      <c r="Y60" s="4">
        <v>36.39</v>
      </c>
      <c r="Z60" s="15" t="str">
        <f t="shared" si="7"/>
        <v>Below Par</v>
      </c>
      <c r="AB60"/>
    </row>
    <row r="61" spans="1:29" x14ac:dyDescent="0.25">
      <c r="A61" s="14">
        <v>43451</v>
      </c>
      <c r="B61" s="4" t="s">
        <v>53</v>
      </c>
      <c r="C61" s="4" t="s">
        <v>27</v>
      </c>
      <c r="D61" s="4">
        <v>1</v>
      </c>
      <c r="E61" s="4">
        <v>12.22</v>
      </c>
      <c r="F61" s="15" t="str">
        <f t="shared" si="5"/>
        <v>Small</v>
      </c>
      <c r="G61"/>
      <c r="H61"/>
      <c r="K61" s="14">
        <v>43451</v>
      </c>
      <c r="L61" s="4" t="s">
        <v>53</v>
      </c>
      <c r="M61" s="4" t="s">
        <v>27</v>
      </c>
      <c r="N61" s="4">
        <v>1</v>
      </c>
      <c r="O61" s="4">
        <v>12.22</v>
      </c>
      <c r="P61" s="15" t="str">
        <f t="shared" si="6"/>
        <v>Below Par</v>
      </c>
      <c r="R61"/>
      <c r="U61" s="14">
        <v>43451</v>
      </c>
      <c r="V61" s="4" t="s">
        <v>53</v>
      </c>
      <c r="W61" s="4" t="s">
        <v>27</v>
      </c>
      <c r="X61" s="4">
        <v>1</v>
      </c>
      <c r="Y61" s="4">
        <v>12.22</v>
      </c>
      <c r="Z61" s="15" t="str">
        <f t="shared" si="7"/>
        <v>Below Par</v>
      </c>
      <c r="AB61"/>
    </row>
    <row r="62" spans="1:29" x14ac:dyDescent="0.25">
      <c r="A62" s="14">
        <v>43246</v>
      </c>
      <c r="B62" s="4" t="s">
        <v>54</v>
      </c>
      <c r="C62" s="4" t="s">
        <v>29</v>
      </c>
      <c r="D62" s="4">
        <v>2</v>
      </c>
      <c r="E62" s="4">
        <v>24.86</v>
      </c>
      <c r="F62" s="15" t="str">
        <f t="shared" si="5"/>
        <v>Small</v>
      </c>
      <c r="G62"/>
      <c r="H62"/>
      <c r="K62" s="14">
        <v>43246</v>
      </c>
      <c r="L62" s="4" t="s">
        <v>54</v>
      </c>
      <c r="M62" s="4" t="s">
        <v>29</v>
      </c>
      <c r="N62" s="4">
        <v>2</v>
      </c>
      <c r="O62" s="4">
        <v>24.86</v>
      </c>
      <c r="P62" s="15" t="str">
        <f t="shared" si="6"/>
        <v>Below Par</v>
      </c>
      <c r="R62"/>
      <c r="U62" s="14">
        <v>43246</v>
      </c>
      <c r="V62" s="4" t="s">
        <v>54</v>
      </c>
      <c r="W62" s="4" t="s">
        <v>29</v>
      </c>
      <c r="X62" s="4">
        <v>2</v>
      </c>
      <c r="Y62" s="4">
        <v>24.86</v>
      </c>
      <c r="Z62" s="15" t="str">
        <f t="shared" si="7"/>
        <v>Below Par</v>
      </c>
      <c r="AB62"/>
    </row>
    <row r="63" spans="1:29" x14ac:dyDescent="0.25">
      <c r="A63" s="14">
        <v>43436</v>
      </c>
      <c r="B63" s="4" t="s">
        <v>55</v>
      </c>
      <c r="C63" s="4" t="s">
        <v>27</v>
      </c>
      <c r="D63" s="4">
        <v>3</v>
      </c>
      <c r="E63" s="4">
        <v>45.6</v>
      </c>
      <c r="F63" s="15" t="str">
        <f t="shared" si="5"/>
        <v>Small</v>
      </c>
      <c r="G63"/>
      <c r="H63"/>
      <c r="K63" s="14">
        <v>43436</v>
      </c>
      <c r="L63" s="4" t="s">
        <v>55</v>
      </c>
      <c r="M63" s="4" t="s">
        <v>27</v>
      </c>
      <c r="N63" s="4">
        <v>3</v>
      </c>
      <c r="O63" s="4">
        <v>45.6</v>
      </c>
      <c r="P63" s="15" t="str">
        <f t="shared" si="6"/>
        <v>Below Par</v>
      </c>
      <c r="R63"/>
      <c r="U63" s="14">
        <v>43436</v>
      </c>
      <c r="V63" s="4" t="s">
        <v>55</v>
      </c>
      <c r="W63" s="4" t="s">
        <v>27</v>
      </c>
      <c r="X63" s="4">
        <v>3</v>
      </c>
      <c r="Y63" s="4">
        <v>45.6</v>
      </c>
      <c r="Z63" s="15" t="str">
        <f t="shared" si="7"/>
        <v>Below Par</v>
      </c>
      <c r="AB63"/>
    </row>
    <row r="64" spans="1:29" x14ac:dyDescent="0.25">
      <c r="A64" s="14">
        <v>43388</v>
      </c>
      <c r="B64" s="4" t="s">
        <v>56</v>
      </c>
      <c r="C64" s="4" t="s">
        <v>30</v>
      </c>
      <c r="D64" s="4">
        <v>2</v>
      </c>
      <c r="E64" s="4">
        <v>28.76</v>
      </c>
      <c r="F64" s="15" t="str">
        <f t="shared" si="5"/>
        <v>Small</v>
      </c>
      <c r="G64"/>
      <c r="H64"/>
      <c r="K64" s="14">
        <v>43388</v>
      </c>
      <c r="L64" s="4" t="s">
        <v>56</v>
      </c>
      <c r="M64" s="4" t="s">
        <v>30</v>
      </c>
      <c r="N64" s="4">
        <v>2</v>
      </c>
      <c r="O64" s="4">
        <v>28.76</v>
      </c>
      <c r="P64" s="15" t="str">
        <f t="shared" si="6"/>
        <v>Below Par</v>
      </c>
      <c r="R64"/>
      <c r="U64" s="14">
        <v>43388</v>
      </c>
      <c r="V64" s="4" t="s">
        <v>56</v>
      </c>
      <c r="W64" s="4" t="s">
        <v>30</v>
      </c>
      <c r="X64" s="4">
        <v>2</v>
      </c>
      <c r="Y64" s="4">
        <v>28.76</v>
      </c>
      <c r="Z64" s="15" t="str">
        <f t="shared" si="7"/>
        <v>Below Par</v>
      </c>
      <c r="AB64"/>
    </row>
    <row r="65" spans="1:28" x14ac:dyDescent="0.25">
      <c r="A65" s="14">
        <v>43225</v>
      </c>
      <c r="B65" s="4" t="s">
        <v>51</v>
      </c>
      <c r="C65" s="4" t="s">
        <v>21</v>
      </c>
      <c r="D65" s="4">
        <v>3</v>
      </c>
      <c r="E65" s="4">
        <v>54.57</v>
      </c>
      <c r="F65" s="15" t="str">
        <f t="shared" si="5"/>
        <v>Small</v>
      </c>
      <c r="G65"/>
      <c r="H65"/>
      <c r="K65" s="14">
        <v>43225</v>
      </c>
      <c r="L65" s="4" t="s">
        <v>51</v>
      </c>
      <c r="M65" s="4" t="s">
        <v>21</v>
      </c>
      <c r="N65" s="4">
        <v>3</v>
      </c>
      <c r="O65" s="4">
        <v>54.57</v>
      </c>
      <c r="P65" s="15" t="str">
        <f t="shared" si="6"/>
        <v>Below Par</v>
      </c>
      <c r="R65"/>
      <c r="U65" s="14">
        <v>43225</v>
      </c>
      <c r="V65" s="4" t="s">
        <v>51</v>
      </c>
      <c r="W65" s="4" t="s">
        <v>21</v>
      </c>
      <c r="X65" s="4">
        <v>3</v>
      </c>
      <c r="Y65" s="4">
        <v>54.57</v>
      </c>
      <c r="Z65" s="15" t="str">
        <f t="shared" si="7"/>
        <v>Below Par</v>
      </c>
      <c r="AB65"/>
    </row>
    <row r="66" spans="1:28" x14ac:dyDescent="0.25">
      <c r="A66" s="14">
        <v>43418</v>
      </c>
      <c r="B66" s="4" t="s">
        <v>52</v>
      </c>
      <c r="C66" s="4" t="s">
        <v>23</v>
      </c>
      <c r="D66" s="4">
        <v>4</v>
      </c>
      <c r="E66" s="4">
        <v>73.88</v>
      </c>
      <c r="F66" s="15" t="str">
        <f t="shared" si="5"/>
        <v>Small</v>
      </c>
      <c r="G66"/>
      <c r="H66"/>
      <c r="K66" s="14">
        <v>43418</v>
      </c>
      <c r="L66" s="4" t="s">
        <v>52</v>
      </c>
      <c r="M66" s="4" t="s">
        <v>23</v>
      </c>
      <c r="N66" s="4">
        <v>4</v>
      </c>
      <c r="O66" s="4">
        <v>73.88</v>
      </c>
      <c r="P66" s="15" t="str">
        <f t="shared" si="6"/>
        <v>Below Par</v>
      </c>
      <c r="R66"/>
      <c r="U66" s="14">
        <v>43418</v>
      </c>
      <c r="V66" s="4" t="s">
        <v>52</v>
      </c>
      <c r="W66" s="4" t="s">
        <v>23</v>
      </c>
      <c r="X66" s="4">
        <v>4</v>
      </c>
      <c r="Y66" s="4">
        <v>73.88</v>
      </c>
      <c r="Z66" s="15" t="str">
        <f t="shared" si="7"/>
        <v>Below Par</v>
      </c>
      <c r="AB66"/>
    </row>
    <row r="67" spans="1:28" x14ac:dyDescent="0.25">
      <c r="A67" s="14">
        <v>43451</v>
      </c>
      <c r="B67" s="4" t="s">
        <v>53</v>
      </c>
      <c r="C67" s="4" t="s">
        <v>17</v>
      </c>
      <c r="D67" s="4">
        <v>2</v>
      </c>
      <c r="E67" s="4">
        <v>39.1</v>
      </c>
      <c r="F67" s="15" t="str">
        <f t="shared" si="5"/>
        <v>Small</v>
      </c>
      <c r="G67"/>
      <c r="H67"/>
      <c r="K67" s="14">
        <v>43451</v>
      </c>
      <c r="L67" s="4" t="s">
        <v>53</v>
      </c>
      <c r="M67" s="4" t="s">
        <v>17</v>
      </c>
      <c r="N67" s="4">
        <v>2</v>
      </c>
      <c r="O67" s="4">
        <v>39.1</v>
      </c>
      <c r="P67" s="15" t="str">
        <f t="shared" si="6"/>
        <v>Below Par</v>
      </c>
      <c r="R67"/>
      <c r="U67" s="14">
        <v>43451</v>
      </c>
      <c r="V67" s="4" t="s">
        <v>53</v>
      </c>
      <c r="W67" s="4" t="s">
        <v>17</v>
      </c>
      <c r="X67" s="4">
        <v>2</v>
      </c>
      <c r="Y67" s="4">
        <v>39.1</v>
      </c>
      <c r="Z67" s="15" t="str">
        <f t="shared" si="7"/>
        <v>Below Par</v>
      </c>
      <c r="AB67"/>
    </row>
    <row r="68" spans="1:28" x14ac:dyDescent="0.25">
      <c r="A68" s="14">
        <v>43360</v>
      </c>
      <c r="B68" s="4" t="s">
        <v>54</v>
      </c>
      <c r="C68" s="4" t="s">
        <v>31</v>
      </c>
      <c r="D68" s="4">
        <v>1</v>
      </c>
      <c r="E68" s="4">
        <v>10.83</v>
      </c>
      <c r="F68" s="15" t="str">
        <f t="shared" si="5"/>
        <v>Small</v>
      </c>
      <c r="G68"/>
      <c r="H68"/>
      <c r="K68" s="14">
        <v>43360</v>
      </c>
      <c r="L68" s="4" t="s">
        <v>54</v>
      </c>
      <c r="M68" s="4" t="s">
        <v>31</v>
      </c>
      <c r="N68" s="4">
        <v>1</v>
      </c>
      <c r="O68" s="4">
        <v>10.83</v>
      </c>
      <c r="P68" s="15" t="str">
        <f t="shared" si="6"/>
        <v>Below Par</v>
      </c>
      <c r="R68"/>
      <c r="U68" s="14">
        <v>43360</v>
      </c>
      <c r="V68" s="4" t="s">
        <v>54</v>
      </c>
      <c r="W68" s="4" t="s">
        <v>31</v>
      </c>
      <c r="X68" s="4">
        <v>1</v>
      </c>
      <c r="Y68" s="4">
        <v>10.83</v>
      </c>
      <c r="Z68" s="15" t="str">
        <f t="shared" si="7"/>
        <v>Below Par</v>
      </c>
      <c r="AB68"/>
    </row>
    <row r="69" spans="1:28" x14ac:dyDescent="0.25">
      <c r="A69" s="14">
        <v>43462</v>
      </c>
      <c r="B69" s="4" t="s">
        <v>55</v>
      </c>
      <c r="C69" s="4" t="s">
        <v>32</v>
      </c>
      <c r="D69" s="4">
        <v>4</v>
      </c>
      <c r="E69" s="4">
        <v>53.96</v>
      </c>
      <c r="F69" s="15" t="str">
        <f t="shared" si="5"/>
        <v>Small</v>
      </c>
      <c r="G69"/>
      <c r="H69"/>
      <c r="K69" s="14">
        <v>43462</v>
      </c>
      <c r="L69" s="4" t="s">
        <v>55</v>
      </c>
      <c r="M69" s="4" t="s">
        <v>32</v>
      </c>
      <c r="N69" s="4">
        <v>4</v>
      </c>
      <c r="O69" s="4">
        <v>53.96</v>
      </c>
      <c r="P69" s="15" t="str">
        <f t="shared" si="6"/>
        <v>Below Par</v>
      </c>
      <c r="R69"/>
      <c r="U69" s="14">
        <v>43462</v>
      </c>
      <c r="V69" s="4" t="s">
        <v>55</v>
      </c>
      <c r="W69" s="4" t="s">
        <v>32</v>
      </c>
      <c r="X69" s="4">
        <v>4</v>
      </c>
      <c r="Y69" s="4">
        <v>53.96</v>
      </c>
      <c r="Z69" s="15" t="str">
        <f t="shared" si="7"/>
        <v>Below Par</v>
      </c>
      <c r="AB69"/>
    </row>
    <row r="70" spans="1:28" x14ac:dyDescent="0.25">
      <c r="A70" s="14">
        <v>43143</v>
      </c>
      <c r="B70" s="4" t="s">
        <v>56</v>
      </c>
      <c r="C70" s="4" t="s">
        <v>31</v>
      </c>
      <c r="D70" s="4">
        <v>48</v>
      </c>
      <c r="E70" s="4">
        <v>345.17</v>
      </c>
      <c r="F70" s="15" t="str">
        <f t="shared" si="5"/>
        <v>Large</v>
      </c>
      <c r="G70"/>
      <c r="H70"/>
      <c r="K70" s="14">
        <v>43143</v>
      </c>
      <c r="L70" s="4" t="s">
        <v>56</v>
      </c>
      <c r="M70" s="4" t="s">
        <v>31</v>
      </c>
      <c r="N70" s="4">
        <v>48</v>
      </c>
      <c r="O70" s="4">
        <v>345.17</v>
      </c>
      <c r="P70" s="15" t="str">
        <f t="shared" si="6"/>
        <v>Average</v>
      </c>
      <c r="R70"/>
      <c r="U70" s="14">
        <v>43143</v>
      </c>
      <c r="V70" s="4" t="s">
        <v>56</v>
      </c>
      <c r="W70" s="4" t="s">
        <v>31</v>
      </c>
      <c r="X70" s="4">
        <v>48</v>
      </c>
      <c r="Y70" s="4">
        <v>345.17</v>
      </c>
      <c r="Z70" s="15" t="str">
        <f t="shared" si="7"/>
        <v>Average</v>
      </c>
      <c r="AB7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IF or 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2017-11-06T17:31:13Z</dcterms:created>
  <dcterms:modified xsi:type="dcterms:W3CDTF">2021-05-03T08:20:59Z</dcterms:modified>
</cp:coreProperties>
</file>