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Dashboard _ Reports\"/>
    </mc:Choice>
  </mc:AlternateContent>
  <xr:revisionPtr revIDLastSave="0" documentId="13_ncr:1_{C335FD7B-C2B7-4956-91C5-BB33BDB1559D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MDashboard-2" sheetId="3" r:id="rId1"/>
  </sheets>
  <definedNames>
    <definedName name="ColA">OFFSET(#REF!,0,0,MATCH(#REF!,#REF!,0),1)</definedName>
    <definedName name="ColAA">OFFSET('MDashboard-2'!$A$2,MATCH('MDashboard-2'!$H$1,'MDashboard-2'!$A$2:$A$13,0)-1,0,(MATCH('MDashboard-2'!$K$1,'MDashboard-2'!$A$2:$A$13,0)+1)-MATCH('MDashboard-2'!$H$1,'MDashboard-2'!$A$2:$A$13,0),1)</definedName>
    <definedName name="ColB">OFFSET(ColA,0,1)</definedName>
    <definedName name="ColBB">OFFSET(ColAA,0,1)</definedName>
    <definedName name="ColC">OFFSET(ColA,0,2)</definedName>
    <definedName name="ColCC">OFFSET(ColAA,0,2)</definedName>
    <definedName name="ColD">OFFSET(ColA,0,3)</definedName>
    <definedName name="Players">OFFSET(#REF!,0,0,COUNTIF(#REF!,"&lt;&gt;0"),1)</definedName>
    <definedName name="Score">OFFSET(#REF!,0,1,COUNTIF(#REF!,"&lt;&gt;0"),1)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3" l="1"/>
  <c r="A13" i="3"/>
  <c r="A12" i="3"/>
  <c r="A11" i="3"/>
  <c r="A10" i="3"/>
  <c r="A9" i="3"/>
  <c r="A8" i="3"/>
  <c r="A7" i="3"/>
  <c r="A6" i="3"/>
  <c r="A5" i="3"/>
  <c r="A4" i="3"/>
  <c r="A3" i="3"/>
  <c r="O5" i="3" s="1"/>
</calcChain>
</file>

<file path=xl/sharedStrings.xml><?xml version="1.0" encoding="utf-8"?>
<sst xmlns="http://schemas.openxmlformats.org/spreadsheetml/2006/main" count="9" uniqueCount="9">
  <si>
    <t>Month</t>
  </si>
  <si>
    <t>Productivity</t>
  </si>
  <si>
    <t>Target</t>
  </si>
  <si>
    <t>StartMonth</t>
  </si>
  <si>
    <t>End Month</t>
  </si>
  <si>
    <t>ColAA</t>
  </si>
  <si>
    <t>ColBB</t>
  </si>
  <si>
    <t>ColCC</t>
  </si>
  <si>
    <t xml:space="preserve"> =OFFSET($A$2,MATCH($H$1,$A$2:$A$13,0)-1,0,(MATCH($K$1,$A$2:$A$13,0)+1)-MATCH($H$1,$A$2:$A$13,0),1)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</si>
</sst>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3">
    <xf numFmtId="0" fontId="0" fillId="0" borderId="0"/>
    <xf numFmtId="0" fontId="1" fillId="2" borderId="1" applyNumberFormat="0" applyFont="0" applyAlignment="0" applyProtection="0"/>
    <xf numFmtId="0" fontId="2" fillId="0" borderId="2" applyNumberFormat="0" applyFill="0" applyAlignment="0" applyProtection="0"/>
  </cellStyleXfs>
  <cellXfs count="6">
    <xf numFmtId="0" fontId="0" fillId="0" borderId="0" xfId="0"/>
    <xf numFmtId="0" fontId="0" fillId="2" borderId="4" xfId="1" applyFont="1" applyBorder="1"/>
    <xf numFmtId="164" fontId="0" fillId="0" borderId="3" xfId="0" applyNumberFormat="1" applyBorder="1"/>
    <xf numFmtId="0" fontId="0" fillId="0" borderId="3" xfId="0" applyBorder="1"/>
    <xf numFmtId="0" fontId="2" fillId="0" borderId="2" xfId="2"/>
    <xf numFmtId="164" fontId="2" fillId="0" borderId="2" xfId="2" applyNumberFormat="1"/>
  </cellXfs>
  <cellStyles count="3">
    <cellStyle name="Normal" xfId="0" builtinId="0"/>
    <cellStyle name="Note" xfId="1" builtinId="10"/>
    <cellStyle name="Total" xfId="2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'MDashboard-2'!$B$1</c:f>
              <c:strCache>
                <c:ptCount val="1"/>
                <c:pt idx="0">
                  <c:v>Productivity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[0]!ColAA</c:f>
              <c:numCache>
                <c:formatCode>mmm</c:formatCode>
                <c:ptCount val="3"/>
                <c:pt idx="0">
                  <c:v>43678</c:v>
                </c:pt>
                <c:pt idx="1">
                  <c:v>43709</c:v>
                </c:pt>
                <c:pt idx="2">
                  <c:v>43739</c:v>
                </c:pt>
              </c:numCache>
            </c:numRef>
          </c:cat>
          <c:val>
            <c:numRef>
              <c:f>[0]!ColBB</c:f>
              <c:numCache>
                <c:formatCode>General</c:formatCode>
                <c:ptCount val="3"/>
                <c:pt idx="0">
                  <c:v>80</c:v>
                </c:pt>
                <c:pt idx="1">
                  <c:v>50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D-4E78-811B-132680E67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14442088"/>
        <c:axId val="314441696"/>
      </c:barChart>
      <c:lineChart>
        <c:grouping val="standard"/>
        <c:varyColors val="0"/>
        <c:ser>
          <c:idx val="1"/>
          <c:order val="1"/>
          <c:tx>
            <c:strRef>
              <c:f>'MDashboard-2'!$C$1</c:f>
              <c:strCache>
                <c:ptCount val="1"/>
                <c:pt idx="0">
                  <c:v>Target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'MDashboard-2'!$A$2:$A$13</c:f>
              <c:numCache>
                <c:formatCode>mmm</c:formatCode>
                <c:ptCount val="12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</c:numCache>
            </c:numRef>
          </c:cat>
          <c:val>
            <c:numRef>
              <c:f>[0]!ColCC</c:f>
              <c:numCache>
                <c:formatCode>General</c:formatCode>
                <c:ptCount val="3"/>
                <c:pt idx="0">
                  <c:v>84</c:v>
                </c:pt>
                <c:pt idx="1">
                  <c:v>59</c:v>
                </c:pt>
                <c:pt idx="2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3D-4E78-811B-132680E67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4442088"/>
        <c:axId val="314441696"/>
      </c:lineChart>
      <c:dateAx>
        <c:axId val="314442088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441696"/>
        <c:crosses val="autoZero"/>
        <c:auto val="1"/>
        <c:lblOffset val="100"/>
        <c:baseTimeUnit val="months"/>
      </c:dateAx>
      <c:valAx>
        <c:axId val="31444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442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171450</xdr:colOff>
      <xdr:row>2</xdr:row>
      <xdr:rowOff>14287</xdr:rowOff>
    </xdr:from>
    <xdr:to>
      <xdr:col>12</xdr:col>
      <xdr:colOff>47625</xdr:colOff>
      <xdr:row>16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649031E-69C9-4B42-BC4E-D2885A3FB9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581025</xdr:colOff>
      <xdr:row>5</xdr:row>
      <xdr:rowOff>152400</xdr:rowOff>
    </xdr:from>
    <xdr:to>
      <xdr:col>17</xdr:col>
      <xdr:colOff>599705</xdr:colOff>
      <xdr:row>13</xdr:row>
      <xdr:rowOff>133162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B5D3141-2A29-400E-BDBC-432D36EF0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20050" y="1123950"/>
          <a:ext cx="2961905" cy="15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3"/>
  <sheetViews>
    <sheetView tabSelected="1" workbookViewId="0">
      <selection activeCell="P17" sqref="P17"/>
    </sheetView>
  </sheetViews>
  <sheetFormatPr defaultRowHeight="15" x14ac:dyDescent="0.25"/>
  <cols>
    <col min="1" max="1" width="6.85546875" bestFit="1" customWidth="1"/>
    <col min="2" max="2" width="11.7109375" bestFit="1" customWidth="1"/>
    <col min="3" max="3" width="6.5703125" bestFit="1" customWidth="1"/>
    <col min="7" max="7" width="11.140625" bestFit="1" customWidth="1"/>
    <col min="10" max="10" width="11.140625" bestFit="1" customWidth="1"/>
    <col min="11" max="11" width="9.28515625" customWidth="1"/>
    <col min="14" max="14" width="8.28515625" customWidth="1"/>
    <col min="15" max="15" width="8.42578125" bestFit="1" customWidth="1"/>
  </cols>
  <sheetData>
    <row r="1" spans="1:15" ht="15.75" thickBot="1" x14ac:dyDescent="0.3">
      <c r="A1" s="1" t="s">
        <v>0</v>
      </c>
      <c r="B1" s="1" t="s">
        <v>1</v>
      </c>
      <c r="C1" s="1" t="s">
        <v>2</v>
      </c>
      <c r="G1" s="4" t="s">
        <v>3</v>
      </c>
      <c r="H1" s="5">
        <v>43678</v>
      </c>
      <c r="J1" s="4" t="s">
        <v>4</v>
      </c>
      <c r="K1" s="5">
        <v>43739</v>
      </c>
    </row>
    <row r="2" spans="1:15" ht="15.75" thickTop="1" x14ac:dyDescent="0.25">
      <c r="A2" s="2">
        <v>43466</v>
      </c>
      <c r="B2" s="3">
        <v>62</v>
      </c>
      <c r="C2" s="3">
        <v>63</v>
      </c>
    </row>
    <row r="3" spans="1:15" x14ac:dyDescent="0.25">
      <c r="A3" s="2">
        <f>EDATE($A$2,ROW(A1))</f>
        <v>43497</v>
      </c>
      <c r="B3" s="3">
        <v>70</v>
      </c>
      <c r="C3" s="3">
        <v>78</v>
      </c>
      <c r="N3" s="3" t="s">
        <v>5</v>
      </c>
      <c r="O3" s="3" t="s">
        <v>8</v>
      </c>
    </row>
    <row r="4" spans="1:15" x14ac:dyDescent="0.25">
      <c r="A4" s="2">
        <f t="shared" ref="A4:A13" si="0">EDATE($A$2,ROW(A2))</f>
        <v>43525</v>
      </c>
      <c r="B4" s="3">
        <v>93</v>
      </c>
      <c r="C4" s="3">
        <v>94</v>
      </c>
      <c r="N4" s="3" t="s">
        <v>6</v>
      </c>
      <c r="O4" s="3" t="e">
        <f ca="1">OFFSET(ColAA,0,1)</f>
        <v>#VALUE!</v>
      </c>
    </row>
    <row r="5" spans="1:15" x14ac:dyDescent="0.25">
      <c r="A5" s="2">
        <f t="shared" si="0"/>
        <v>43556</v>
      </c>
      <c r="B5" s="3">
        <v>91</v>
      </c>
      <c r="C5" s="3">
        <v>98</v>
      </c>
      <c r="N5" s="3" t="s">
        <v>7</v>
      </c>
      <c r="O5" s="3" t="e">
        <f ca="1">OFFSET(ColAA,0,2)</f>
        <v>#VALUE!</v>
      </c>
    </row>
    <row r="6" spans="1:15" x14ac:dyDescent="0.25">
      <c r="A6" s="2">
        <f t="shared" si="0"/>
        <v>43586</v>
      </c>
      <c r="B6" s="3">
        <v>87</v>
      </c>
      <c r="C6" s="3">
        <v>96</v>
      </c>
    </row>
    <row r="7" spans="1:15" x14ac:dyDescent="0.25">
      <c r="A7" s="2">
        <f t="shared" si="0"/>
        <v>43617</v>
      </c>
      <c r="B7" s="3">
        <v>89</v>
      </c>
      <c r="C7" s="3">
        <v>91</v>
      </c>
    </row>
    <row r="8" spans="1:15" x14ac:dyDescent="0.25">
      <c r="A8" s="2">
        <f t="shared" si="0"/>
        <v>43647</v>
      </c>
      <c r="B8" s="3">
        <v>92</v>
      </c>
      <c r="C8" s="3">
        <v>94</v>
      </c>
    </row>
    <row r="9" spans="1:15" x14ac:dyDescent="0.25">
      <c r="A9" s="2">
        <f t="shared" si="0"/>
        <v>43678</v>
      </c>
      <c r="B9" s="3">
        <v>80</v>
      </c>
      <c r="C9" s="3">
        <v>84</v>
      </c>
    </row>
    <row r="10" spans="1:15" x14ac:dyDescent="0.25">
      <c r="A10" s="2">
        <f t="shared" si="0"/>
        <v>43709</v>
      </c>
      <c r="B10" s="3">
        <v>50</v>
      </c>
      <c r="C10" s="3">
        <v>59</v>
      </c>
    </row>
    <row r="11" spans="1:15" x14ac:dyDescent="0.25">
      <c r="A11" s="2">
        <f t="shared" si="0"/>
        <v>43739</v>
      </c>
      <c r="B11" s="3">
        <v>50</v>
      </c>
      <c r="C11" s="3">
        <v>51</v>
      </c>
    </row>
    <row r="12" spans="1:15" x14ac:dyDescent="0.25">
      <c r="A12" s="2">
        <f t="shared" si="0"/>
        <v>43770</v>
      </c>
      <c r="B12" s="3">
        <v>65</v>
      </c>
      <c r="C12" s="3">
        <v>71</v>
      </c>
    </row>
    <row r="13" spans="1:15" x14ac:dyDescent="0.25">
      <c r="A13" s="2">
        <f t="shared" si="0"/>
        <v>43800</v>
      </c>
      <c r="B13" s="3">
        <v>81</v>
      </c>
      <c r="C13" s="3">
        <v>91</v>
      </c>
    </row>
  </sheetData>
  <dataValidations disablePrompts="1" count="1">
    <dataValidation type="list" allowBlank="1" showInputMessage="1" showErrorMessage="1" sqref="H1 K1" xr:uid="{00000000-0002-0000-0000-000000000000}">
      <formula1>$A$2:$A$13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MDashboard-2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2019-05-30T03:17:39Z</dcterms:created>
  <dcterms:modified xsi:type="dcterms:W3CDTF">2021-05-03T08:07:50Z</dcterms:modified>
</cp:coreProperties>
</file>